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xinzhao/DS_Projects/psa-cholesky-excel/Working/"/>
    </mc:Choice>
  </mc:AlternateContent>
  <xr:revisionPtr revIDLastSave="0" documentId="13_ncr:1_{9833EF9E-C4B8-4942-BA82-A7CFFBC3CEBA}" xr6:coauthVersionLast="47" xr6:coauthVersionMax="47" xr10:uidLastSave="{00000000-0000-0000-0000-000000000000}"/>
  <bookViews>
    <workbookView xWindow="30240" yWindow="600" windowWidth="37160" windowHeight="21000" activeTab="1" xr2:uid="{87BACB6F-2D08-134B-B86C-23EDF31F9C43}"/>
  </bookViews>
  <sheets>
    <sheet name="Helper" sheetId="1" r:id="rId1"/>
    <sheet name="Parameter" sheetId="2" r:id="rId2"/>
    <sheet name="Check" sheetId="3" r:id="rId3"/>
  </sheets>
  <externalReferences>
    <externalReference r:id="rId4"/>
  </externalReferences>
  <definedNames>
    <definedName name="Disease_Subtype">[1]Engine!$R$15:$R$18</definedName>
    <definedName name="Onset_lognormal_mu_DOK7">[1]Parameter!$J$30</definedName>
    <definedName name="Onset_lognormal_sigma_DOK7">[1]Parameter!$J$31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G8" i="3"/>
  <c r="F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8" i="3"/>
  <c r="G8" i="1"/>
  <c r="G9" i="1" l="1"/>
  <c r="E6" i="2"/>
  <c r="G10" i="1" l="1"/>
  <c r="E7" i="2" s="1"/>
  <c r="R8" i="3" s="1"/>
  <c r="R47" i="3" l="1"/>
  <c r="R52" i="3"/>
  <c r="R46" i="3"/>
  <c r="R71" i="3"/>
  <c r="R48" i="3"/>
  <c r="R83" i="3"/>
  <c r="R70" i="3"/>
  <c r="R37" i="3"/>
  <c r="R32" i="3"/>
  <c r="R28" i="3"/>
  <c r="R36" i="3"/>
  <c r="R101" i="3"/>
  <c r="R84" i="3"/>
  <c r="R67" i="3"/>
  <c r="R92" i="3"/>
  <c r="R88" i="3"/>
  <c r="R68" i="3"/>
  <c r="R103" i="3"/>
  <c r="R51" i="3"/>
  <c r="R57" i="3"/>
  <c r="R63" i="3"/>
  <c r="R50" i="3"/>
  <c r="R56" i="3"/>
  <c r="R22" i="3"/>
  <c r="R107" i="3"/>
  <c r="R104" i="3"/>
  <c r="R87" i="3"/>
  <c r="R99" i="3"/>
  <c r="R65" i="3"/>
  <c r="R91" i="3"/>
  <c r="R55" i="3"/>
  <c r="R60" i="3"/>
  <c r="R45" i="3"/>
  <c r="R11" i="3"/>
  <c r="R35" i="3"/>
  <c r="R34" i="3"/>
  <c r="R89" i="3"/>
  <c r="R108" i="3"/>
  <c r="R25" i="3"/>
  <c r="R38" i="3"/>
  <c r="R24" i="3"/>
  <c r="R79" i="3"/>
  <c r="R95" i="3"/>
  <c r="R27" i="3"/>
  <c r="R64" i="3"/>
  <c r="R40" i="3"/>
  <c r="R26" i="3"/>
  <c r="R43" i="3"/>
  <c r="R69" i="3"/>
  <c r="R13" i="3"/>
  <c r="R106" i="3"/>
  <c r="R53" i="3"/>
  <c r="R30" i="3"/>
  <c r="R62" i="3"/>
  <c r="R59" i="3"/>
  <c r="R12" i="3"/>
  <c r="R76" i="3"/>
  <c r="R23" i="3"/>
  <c r="R20" i="3"/>
  <c r="R85" i="3"/>
  <c r="R42" i="3"/>
  <c r="R49" i="3"/>
  <c r="R44" i="3"/>
  <c r="R21" i="3"/>
  <c r="R10" i="3"/>
  <c r="R17" i="3"/>
  <c r="R15" i="3"/>
  <c r="R33" i="3"/>
  <c r="R81" i="3"/>
  <c r="R39" i="3"/>
  <c r="R18" i="3"/>
  <c r="R16" i="3"/>
  <c r="R14" i="3"/>
  <c r="R100" i="3"/>
  <c r="R98" i="3"/>
  <c r="R96" i="3"/>
  <c r="R94" i="3"/>
  <c r="R102" i="3"/>
  <c r="R61" i="3"/>
  <c r="R29" i="3"/>
  <c r="R97" i="3"/>
  <c r="R105" i="3"/>
  <c r="R93" i="3"/>
  <c r="R90" i="3"/>
  <c r="R78" i="3"/>
  <c r="R86" i="3"/>
  <c r="R74" i="3"/>
  <c r="R82" i="3"/>
  <c r="R41" i="3"/>
  <c r="R19" i="3"/>
  <c r="R77" i="3"/>
  <c r="R75" i="3"/>
  <c r="R73" i="3"/>
  <c r="R80" i="3"/>
  <c r="R58" i="3"/>
  <c r="R66" i="3"/>
  <c r="R54" i="3"/>
  <c r="R72" i="3"/>
  <c r="R31" i="3"/>
  <c r="R9" i="3"/>
</calcChain>
</file>

<file path=xl/sharedStrings.xml><?xml version="1.0" encoding="utf-8"?>
<sst xmlns="http://schemas.openxmlformats.org/spreadsheetml/2006/main" count="27" uniqueCount="25">
  <si>
    <t>(Co-)variance</t>
  </si>
  <si>
    <t>Cholesky factor</t>
  </si>
  <si>
    <t>mu</t>
  </si>
  <si>
    <t>sigma</t>
  </si>
  <si>
    <t>Parameter name</t>
  </si>
  <si>
    <t>Deterministic input</t>
  </si>
  <si>
    <t>Probabilistic input</t>
  </si>
  <si>
    <t>Probability dist</t>
  </si>
  <si>
    <t>Onset lognormal mu</t>
  </si>
  <si>
    <t>Onset lognormal sigma</t>
  </si>
  <si>
    <t>Multivariate normal</t>
  </si>
  <si>
    <t>Age</t>
  </si>
  <si>
    <t>Probabilistic cumulative proportion</t>
  </si>
  <si>
    <t>Deterministic cumulative proportion</t>
  </si>
  <si>
    <t>Upper 95% credible interval</t>
  </si>
  <si>
    <t>Lower 95% credible interval</t>
  </si>
  <si>
    <t>Cholesky factor calculation based on model-based variance</t>
  </si>
  <si>
    <t>Parameter uncertainty</t>
  </si>
  <si>
    <t>Footnote: The deterministic input (i.e., point estimate of the parameterization of the log-normal model) and the covariance were both extracted from the model output. The Cholesky factor was calculated using the incell formula.</t>
  </si>
  <si>
    <t>Footnote: The deterministic input (i.e., the point estimate of the parameterization of the log-normal model) was extracted from the model output. The probabilistic input was calculated based on the incell formula and the Cholesky factor in the Helper sheet.</t>
  </si>
  <si>
    <t>Validation of age-specific cumulative proportions based on probabilistic model parameters</t>
  </si>
  <si>
    <t>Age-specific cumulative proportions of randomly sampled model parameters</t>
  </si>
  <si>
    <t>Helper Sheet</t>
  </si>
  <si>
    <t>Parameter Sheet</t>
  </si>
  <si>
    <t>Validation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</si>
</sst>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7" formatCode="0.000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A7D00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 (Body)"/>
    </font>
    <font>
      <sz val="11"/>
      <color theme="1"/>
      <name val="Aptos Narrow (Body)"/>
    </font>
    <font>
      <i/>
      <sz val="12"/>
      <color theme="1" tint="0.499984740745262"/>
      <name val="Aptos Narrow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5" fillId="4" borderId="3" applyNumberFormat="0" applyAlignment="0" applyProtection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2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 wrapText="1"/>
    </xf>
    <xf numFmtId="2" fontId="0" fillId="0" borderId="2" xfId="0" applyNumberFormat="1" applyBorder="1"/>
    <xf numFmtId="0" fontId="0" fillId="0" borderId="2" xfId="0" applyBorder="1" applyAlignment="1">
      <alignment horizontal="center"/>
    </xf>
    <xf numFmtId="0" fontId="4" fillId="0" borderId="0" xfId="0" applyFont="1"/>
    <xf numFmtId="2" fontId="4" fillId="0" borderId="2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9" fontId="8" fillId="0" borderId="2" xfId="1" applyFont="1" applyFill="1" applyBorder="1" applyAlignment="1">
      <alignment horizontal="right" vertical="center"/>
    </xf>
    <xf numFmtId="9" fontId="6" fillId="0" borderId="2" xfId="1" applyFont="1" applyBorder="1"/>
    <xf numFmtId="164" fontId="6" fillId="0" borderId="2" xfId="1" applyNumberFormat="1" applyFont="1" applyBorder="1"/>
    <xf numFmtId="2" fontId="5" fillId="4" borderId="3" xfId="4" applyNumberFormat="1"/>
    <xf numFmtId="0" fontId="4" fillId="5" borderId="0" xfId="0" applyFont="1" applyFill="1"/>
    <xf numFmtId="0" fontId="4" fillId="6" borderId="0" xfId="0" applyFont="1" applyFill="1"/>
    <xf numFmtId="0" fontId="0" fillId="6" borderId="0" xfId="0" applyFill="1"/>
    <xf numFmtId="0" fontId="6" fillId="6" borderId="0" xfId="0" applyFont="1" applyFill="1"/>
    <xf numFmtId="0" fontId="10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167" fontId="4" fillId="0" borderId="2" xfId="0" applyNumberFormat="1" applyFont="1" applyBorder="1" applyAlignment="1">
      <alignment horizontal="right" vertical="center"/>
    </xf>
    <xf numFmtId="165" fontId="5" fillId="4" borderId="3" xfId="4" applyNumberFormat="1" applyAlignment="1">
      <alignment horizontal="right" vertical="center"/>
    </xf>
  </cellXfs>
  <cellStyles count="5">
    <cellStyle name="Calculation" xfId="4" builtinId="22"/>
    <cellStyle name="Normal" xfId="0" builtinId="0"/>
    <cellStyle name="Normal 10" xfId="3" xr:uid="{52C1C7E5-F789-3545-BC7B-39B4A773DEA5}"/>
    <cellStyle name="Note" xfId="2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check for log-normal distribution with uncertainty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Deterministic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Check!$D$8:$D$108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Check!$E$8:$E$108</c:f>
              <c:numCache>
                <c:formatCode>0%</c:formatCode>
                <c:ptCount val="101"/>
                <c:pt idx="0">
                  <c:v>1</c:v>
                </c:pt>
                <c:pt idx="1">
                  <c:v>0.29877631554826678</c:v>
                </c:pt>
                <c:pt idx="2">
                  <c:v>0.22181691171816875</c:v>
                </c:pt>
                <c:pt idx="3">
                  <c:v>0.18263227967649287</c:v>
                </c:pt>
                <c:pt idx="4">
                  <c:v>0.15763639537956531</c:v>
                </c:pt>
                <c:pt idx="5">
                  <c:v>0.13987387781248761</c:v>
                </c:pt>
                <c:pt idx="6">
                  <c:v>0.12640985818161421</c:v>
                </c:pt>
                <c:pt idx="7">
                  <c:v>0.11575276275317958</c:v>
                </c:pt>
                <c:pt idx="8">
                  <c:v>0.10705045460265372</c:v>
                </c:pt>
                <c:pt idx="9">
                  <c:v>9.9774930832371655E-2</c:v>
                </c:pt>
                <c:pt idx="10">
                  <c:v>9.3578816465060277E-2</c:v>
                </c:pt>
                <c:pt idx="11">
                  <c:v>8.8222763690623762E-2</c:v>
                </c:pt>
                <c:pt idx="12">
                  <c:v>8.3535679728618417E-2</c:v>
                </c:pt>
                <c:pt idx="13">
                  <c:v>7.9391537930003642E-2</c:v>
                </c:pt>
                <c:pt idx="14">
                  <c:v>7.5695161087201979E-2</c:v>
                </c:pt>
                <c:pt idx="15">
                  <c:v>7.2373136790669146E-2</c:v>
                </c:pt>
                <c:pt idx="16">
                  <c:v>6.9367806733422022E-2</c:v>
                </c:pt>
                <c:pt idx="17">
                  <c:v>6.6633170164149935E-2</c:v>
                </c:pt>
                <c:pt idx="18">
                  <c:v>6.4132019553818531E-2</c:v>
                </c:pt>
                <c:pt idx="19">
                  <c:v>6.1833892635246523E-2</c:v>
                </c:pt>
                <c:pt idx="20">
                  <c:v>5.9713579089909929E-2</c:v>
                </c:pt>
                <c:pt idx="21">
                  <c:v>5.7750012522600591E-2</c:v>
                </c:pt>
                <c:pt idx="22">
                  <c:v>5.5925435412943814E-2</c:v>
                </c:pt>
                <c:pt idx="23">
                  <c:v>5.4224760919228898E-2</c:v>
                </c:pt>
                <c:pt idx="24">
                  <c:v>5.2635078916070444E-2</c:v>
                </c:pt>
                <c:pt idx="25">
                  <c:v>5.1145269246385516E-2</c:v>
                </c:pt>
                <c:pt idx="26">
                  <c:v>4.9745695721753913E-2</c:v>
                </c:pt>
                <c:pt idx="27">
                  <c:v>4.8427961671664188E-2</c:v>
                </c:pt>
                <c:pt idx="28">
                  <c:v>4.7184712926021999E-2</c:v>
                </c:pt>
                <c:pt idx="29">
                  <c:v>4.6009477724713643E-2</c:v>
                </c:pt>
                <c:pt idx="30">
                  <c:v>4.4896535645417845E-2</c:v>
                </c:pt>
                <c:pt idx="31">
                  <c:v>4.3840809533401637E-2</c:v>
                </c:pt>
                <c:pt idx="32">
                  <c:v>4.283777581199677E-2</c:v>
                </c:pt>
                <c:pt idx="33">
                  <c:v>4.1883389591718445E-2</c:v>
                </c:pt>
                <c:pt idx="34">
                  <c:v>4.0974021778013348E-2</c:v>
                </c:pt>
                <c:pt idx="35">
                  <c:v>4.0106405971583436E-2</c:v>
                </c:pt>
                <c:pt idx="36">
                  <c:v>3.927759341030268E-2</c:v>
                </c:pt>
                <c:pt idx="37">
                  <c:v>3.8484914553255201E-2</c:v>
                </c:pt>
                <c:pt idx="38">
                  <c:v>3.7725946181041192E-2</c:v>
                </c:pt>
                <c:pt idx="39">
                  <c:v>3.6998483101024493E-2</c:v>
                </c:pt>
                <c:pt idx="40">
                  <c:v>3.6300513715541549E-2</c:v>
                </c:pt>
                <c:pt idx="41">
                  <c:v>3.5630198845638228E-2</c:v>
                </c:pt>
                <c:pt idx="42">
                  <c:v>3.4985853310454784E-2</c:v>
                </c:pt>
                <c:pt idx="43">
                  <c:v>3.4365929848847898E-2</c:v>
                </c:pt>
                <c:pt idx="44">
                  <c:v>3.3769005039742783E-2</c:v>
                </c:pt>
                <c:pt idx="45">
                  <c:v>3.319376693451459E-2</c:v>
                </c:pt>
                <c:pt idx="46">
                  <c:v>3.2639004161091223E-2</c:v>
                </c:pt>
                <c:pt idx="47">
                  <c:v>3.2103596297535342E-2</c:v>
                </c:pt>
                <c:pt idx="48">
                  <c:v>3.1586505344239346E-2</c:v>
                </c:pt>
                <c:pt idx="49">
                  <c:v>3.1086768149843791E-2</c:v>
                </c:pt>
                <c:pt idx="50">
                  <c:v>3.0603489667573758E-2</c:v>
                </c:pt>
                <c:pt idx="51">
                  <c:v>3.013583693671118E-2</c:v>
                </c:pt>
                <c:pt idx="52">
                  <c:v>2.9683033699006267E-2</c:v>
                </c:pt>
                <c:pt idx="53">
                  <c:v>2.9244355572522585E-2</c:v>
                </c:pt>
                <c:pt idx="54">
                  <c:v>2.8819125716111338E-2</c:v>
                </c:pt>
                <c:pt idx="55">
                  <c:v>2.840671092677105E-2</c:v>
                </c:pt>
                <c:pt idx="56">
                  <c:v>2.8006518119839785E-2</c:v>
                </c:pt>
                <c:pt idx="57">
                  <c:v>2.7617991148521259E-2</c:v>
                </c:pt>
                <c:pt idx="58">
                  <c:v>2.724060792484162E-2</c:v>
                </c:pt>
                <c:pt idx="59">
                  <c:v>2.687387780893169E-2</c:v>
                </c:pt>
                <c:pt idx="60">
                  <c:v>2.6517339237645765E-2</c:v>
                </c:pt>
                <c:pt idx="61">
                  <c:v>2.6170557567082309E-2</c:v>
                </c:pt>
                <c:pt idx="62">
                  <c:v>2.5833123106629552E-2</c:v>
                </c:pt>
                <c:pt idx="63">
                  <c:v>2.5504649324819217E-2</c:v>
                </c:pt>
                <c:pt idx="64">
                  <c:v>2.5184771209569079E-2</c:v>
                </c:pt>
                <c:pt idx="65">
                  <c:v>2.487314376740013E-2</c:v>
                </c:pt>
                <c:pt idx="66">
                  <c:v>2.4569440647960628E-2</c:v>
                </c:pt>
                <c:pt idx="67">
                  <c:v>2.427335288171184E-2</c:v>
                </c:pt>
                <c:pt idx="68">
                  <c:v>2.3984587719969697E-2</c:v>
                </c:pt>
                <c:pt idx="69">
                  <c:v>2.3702867567664931E-2</c:v>
                </c:pt>
                <c:pt idx="70">
                  <c:v>2.3427929000216507E-2</c:v>
                </c:pt>
                <c:pt idx="71">
                  <c:v>2.3159521856817689E-2</c:v>
                </c:pt>
                <c:pt idx="72">
                  <c:v>2.2897408403237951E-2</c:v>
                </c:pt>
                <c:pt idx="73">
                  <c:v>2.2641362557947575E-2</c:v>
                </c:pt>
                <c:pt idx="74">
                  <c:v>2.2391169176000258E-2</c:v>
                </c:pt>
                <c:pt idx="75">
                  <c:v>2.214662338566542E-2</c:v>
                </c:pt>
                <c:pt idx="76">
                  <c:v>2.1907529973293371E-2</c:v>
                </c:pt>
                <c:pt idx="77">
                  <c:v>2.1673702812337381E-2</c:v>
                </c:pt>
                <c:pt idx="78">
                  <c:v>2.1444964332848149E-2</c:v>
                </c:pt>
                <c:pt idx="79">
                  <c:v>2.1221145028105015E-2</c:v>
                </c:pt>
                <c:pt idx="80">
                  <c:v>2.1002082995361548E-2</c:v>
                </c:pt>
                <c:pt idx="81">
                  <c:v>2.0787623507961595E-2</c:v>
                </c:pt>
                <c:pt idx="82">
                  <c:v>2.0577618616335447E-2</c:v>
                </c:pt>
                <c:pt idx="83">
                  <c:v>2.0371926775606508E-2</c:v>
                </c:pt>
                <c:pt idx="84">
                  <c:v>2.0170412497746204E-2</c:v>
                </c:pt>
                <c:pt idx="85">
                  <c:v>1.9972946026393323E-2</c:v>
                </c:pt>
                <c:pt idx="86">
                  <c:v>1.977940303262038E-2</c:v>
                </c:pt>
                <c:pt idx="87">
                  <c:v>1.958966433007614E-2</c:v>
                </c:pt>
                <c:pt idx="88">
                  <c:v>1.9403615608068803E-2</c:v>
                </c:pt>
                <c:pt idx="89">
                  <c:v>1.9221147181275988E-2</c:v>
                </c:pt>
                <c:pt idx="90">
                  <c:v>1.9042153754872837E-2</c:v>
                </c:pt>
                <c:pt idx="91">
                  <c:v>1.8866534203977214E-2</c:v>
                </c:pt>
                <c:pt idx="92">
                  <c:v>1.8694191366391832E-2</c:v>
                </c:pt>
                <c:pt idx="93">
                  <c:v>1.8525031847713147E-2</c:v>
                </c:pt>
                <c:pt idx="94">
                  <c:v>1.8358965837946162E-2</c:v>
                </c:pt>
                <c:pt idx="95">
                  <c:v>1.8195906938834883E-2</c:v>
                </c:pt>
                <c:pt idx="96">
                  <c:v>1.8035772001179895E-2</c:v>
                </c:pt>
                <c:pt idx="97">
                  <c:v>1.7878480971468491E-2</c:v>
                </c:pt>
                <c:pt idx="98">
                  <c:v>1.7723956747199288E-2</c:v>
                </c:pt>
                <c:pt idx="99">
                  <c:v>1.7572125040324682E-2</c:v>
                </c:pt>
                <c:pt idx="100">
                  <c:v>1.7422914248282684E-2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A5-A94A-B435-063C5EAD7A9D}"/>
            </c:ext>
          </c:extLst>
        </c:ser>
        <c:ser>
          <c:idx val="1"/>
          <c:order val="1"/>
          <c:tx>
            <c:v>95% credible interval, Upper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Check!$D$8:$D$108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Check!$F$8:$F$108</c:f>
              <c:numCache>
                <c:formatCode>0%</c:formatCode>
                <c:ptCount val="101"/>
                <c:pt idx="0">
                  <c:v>1</c:v>
                </c:pt>
                <c:pt idx="1">
                  <c:v>0.42279239492505416</c:v>
                </c:pt>
                <c:pt idx="2">
                  <c:v>0.32378167869144131</c:v>
                </c:pt>
                <c:pt idx="3">
                  <c:v>0.27616929694219572</c:v>
                </c:pt>
                <c:pt idx="4">
                  <c:v>0.23959429792226331</c:v>
                </c:pt>
                <c:pt idx="5">
                  <c:v>0.21474972910652657</c:v>
                </c:pt>
                <c:pt idx="6">
                  <c:v>0.19668324662832315</c:v>
                </c:pt>
                <c:pt idx="7">
                  <c:v>0.18351674133370541</c:v>
                </c:pt>
                <c:pt idx="8">
                  <c:v>0.17342160635759948</c:v>
                </c:pt>
                <c:pt idx="9">
                  <c:v>0.16481802904017867</c:v>
                </c:pt>
                <c:pt idx="10">
                  <c:v>0.15737618607305801</c:v>
                </c:pt>
                <c:pt idx="11">
                  <c:v>0.15087694837499038</c:v>
                </c:pt>
                <c:pt idx="12">
                  <c:v>0.14510285697123371</c:v>
                </c:pt>
                <c:pt idx="13">
                  <c:v>0.13992513469812498</c:v>
                </c:pt>
                <c:pt idx="14">
                  <c:v>0.1352453727166712</c:v>
                </c:pt>
                <c:pt idx="15">
                  <c:v>0.13098681827322051</c:v>
                </c:pt>
                <c:pt idx="16">
                  <c:v>0.12708855336244457</c:v>
                </c:pt>
                <c:pt idx="17">
                  <c:v>0.12350149008224828</c:v>
                </c:pt>
                <c:pt idx="18">
                  <c:v>0.12018554564906159</c:v>
                </c:pt>
                <c:pt idx="19">
                  <c:v>0.11710760544655868</c:v>
                </c:pt>
                <c:pt idx="20">
                  <c:v>0.11424002570480946</c:v>
                </c:pt>
                <c:pt idx="21">
                  <c:v>0.11155951387595768</c:v>
                </c:pt>
                <c:pt idx="22">
                  <c:v>0.10904627855389044</c:v>
                </c:pt>
                <c:pt idx="23">
                  <c:v>0.10668337512966809</c:v>
                </c:pt>
                <c:pt idx="24">
                  <c:v>0.10445619582872182</c:v>
                </c:pt>
                <c:pt idx="25">
                  <c:v>0.10235206777002651</c:v>
                </c:pt>
                <c:pt idx="26">
                  <c:v>0.10035993289313958</c:v>
                </c:pt>
                <c:pt idx="27">
                  <c:v>9.8470090666963231E-2</c:v>
                </c:pt>
                <c:pt idx="28">
                  <c:v>9.6673989467069593E-2</c:v>
                </c:pt>
                <c:pt idx="29">
                  <c:v>9.496687410444736E-2</c:v>
                </c:pt>
                <c:pt idx="30">
                  <c:v>9.3364062986415725E-2</c:v>
                </c:pt>
                <c:pt idx="31">
                  <c:v>9.1833027612821194E-2</c:v>
                </c:pt>
                <c:pt idx="32">
                  <c:v>9.0368512498609666E-2</c:v>
                </c:pt>
                <c:pt idx="33">
                  <c:v>8.8965790881566739E-2</c:v>
                </c:pt>
                <c:pt idx="34">
                  <c:v>8.7620597749965376E-2</c:v>
                </c:pt>
                <c:pt idx="35">
                  <c:v>8.6329073009759172E-2</c:v>
                </c:pt>
                <c:pt idx="36">
                  <c:v>8.5087713018430197E-2</c:v>
                </c:pt>
                <c:pt idx="37">
                  <c:v>8.3893329062020239E-2</c:v>
                </c:pt>
                <c:pt idx="38">
                  <c:v>8.2743011625055096E-2</c:v>
                </c:pt>
                <c:pt idx="39">
                  <c:v>8.1634099518166151E-2</c:v>
                </c:pt>
                <c:pt idx="40">
                  <c:v>8.0564153098727095E-2</c:v>
                </c:pt>
                <c:pt idx="41">
                  <c:v>7.9530930955848927E-2</c:v>
                </c:pt>
                <c:pt idx="42">
                  <c:v>7.8532369540249045E-2</c:v>
                </c:pt>
                <c:pt idx="43">
                  <c:v>7.7566565307633784E-2</c:v>
                </c:pt>
                <c:pt idx="44">
                  <c:v>7.6631759015743095E-2</c:v>
                </c:pt>
                <c:pt idx="45">
                  <c:v>7.5726321873546568E-2</c:v>
                </c:pt>
                <c:pt idx="46">
                  <c:v>7.484874328889618E-2</c:v>
                </c:pt>
                <c:pt idx="47">
                  <c:v>7.3997620000325809E-2</c:v>
                </c:pt>
                <c:pt idx="48">
                  <c:v>7.317164641126421E-2</c:v>
                </c:pt>
                <c:pt idx="49">
                  <c:v>7.236960597199292E-2</c:v>
                </c:pt>
                <c:pt idx="50">
                  <c:v>7.159036347725492E-2</c:v>
                </c:pt>
                <c:pt idx="51">
                  <c:v>7.0832858166323134E-2</c:v>
                </c:pt>
                <c:pt idx="52">
                  <c:v>7.0096097528226875E-2</c:v>
                </c:pt>
                <c:pt idx="53">
                  <c:v>6.9379151728234445E-2</c:v>
                </c:pt>
                <c:pt idx="54">
                  <c:v>6.8681148583032814E-2</c:v>
                </c:pt>
                <c:pt idx="55">
                  <c:v>6.8001269021678273E-2</c:v>
                </c:pt>
                <c:pt idx="56">
                  <c:v>6.7338742977594873E-2</c:v>
                </c:pt>
                <c:pt idx="57">
                  <c:v>6.6692845663909053E-2</c:v>
                </c:pt>
                <c:pt idx="58">
                  <c:v>6.6062894190416263E-2</c:v>
                </c:pt>
                <c:pt idx="59">
                  <c:v>6.5448244485637269E-2</c:v>
                </c:pt>
                <c:pt idx="60">
                  <c:v>6.4848288491870382E-2</c:v>
                </c:pt>
                <c:pt idx="61">
                  <c:v>6.4262451604990653E-2</c:v>
                </c:pt>
                <c:pt idx="62">
                  <c:v>6.3690190334073499E-2</c:v>
                </c:pt>
                <c:pt idx="63">
                  <c:v>6.3130990158811254E-2</c:v>
                </c:pt>
                <c:pt idx="64">
                  <c:v>6.2584363565207995E-2</c:v>
                </c:pt>
                <c:pt idx="65">
                  <c:v>6.2049848242230109E-2</c:v>
                </c:pt>
                <c:pt idx="66">
                  <c:v>6.1527005424008102E-2</c:v>
                </c:pt>
                <c:pt idx="67">
                  <c:v>6.1015418363867792E-2</c:v>
                </c:pt>
                <c:pt idx="68">
                  <c:v>6.0514690927940915E-2</c:v>
                </c:pt>
                <c:pt idx="69">
                  <c:v>6.0024446297406685E-2</c:v>
                </c:pt>
                <c:pt idx="70">
                  <c:v>5.9544325769554943E-2</c:v>
                </c:pt>
                <c:pt idx="71">
                  <c:v>5.9073987648876544E-2</c:v>
                </c:pt>
                <c:pt idx="72">
                  <c:v>5.8613106220275699E-2</c:v>
                </c:pt>
                <c:pt idx="73">
                  <c:v>5.8161370797293138E-2</c:v>
                </c:pt>
                <c:pt idx="74">
                  <c:v>5.771848483893148E-2</c:v>
                </c:pt>
                <c:pt idx="75">
                  <c:v>5.7284165129299271E-2</c:v>
                </c:pt>
                <c:pt idx="76">
                  <c:v>5.6858141014844661E-2</c:v>
                </c:pt>
                <c:pt idx="77">
                  <c:v>5.6440153694451468E-2</c:v>
                </c:pt>
                <c:pt idx="78">
                  <c:v>5.6029955558107698E-2</c:v>
                </c:pt>
                <c:pt idx="79">
                  <c:v>5.562730957025927E-2</c:v>
                </c:pt>
                <c:pt idx="80">
                  <c:v>5.5231988694313047E-2</c:v>
                </c:pt>
                <c:pt idx="81">
                  <c:v>5.4843775355075994E-2</c:v>
                </c:pt>
                <c:pt idx="82">
                  <c:v>5.4462460936202453E-2</c:v>
                </c:pt>
                <c:pt idx="83">
                  <c:v>5.4087845309979232E-2</c:v>
                </c:pt>
                <c:pt idx="84">
                  <c:v>5.3719736397013038E-2</c:v>
                </c:pt>
                <c:pt idx="85">
                  <c:v>5.3357949753591663E-2</c:v>
                </c:pt>
                <c:pt idx="86">
                  <c:v>5.3002308184683135E-2</c:v>
                </c:pt>
                <c:pt idx="87">
                  <c:v>5.265264138070623E-2</c:v>
                </c:pt>
                <c:pt idx="88">
                  <c:v>5.2308785576361136E-2</c:v>
                </c:pt>
                <c:pt idx="89">
                  <c:v>5.1970583229951461E-2</c:v>
                </c:pt>
                <c:pt idx="90">
                  <c:v>5.1637882721754874E-2</c:v>
                </c:pt>
                <c:pt idx="91">
                  <c:v>5.1310538070116943E-2</c:v>
                </c:pt>
                <c:pt idx="92">
                  <c:v>5.09884086640464E-2</c:v>
                </c:pt>
                <c:pt idx="93">
                  <c:v>5.0671359011189451E-2</c:v>
                </c:pt>
                <c:pt idx="94">
                  <c:v>5.0359258500144763E-2</c:v>
                </c:pt>
                <c:pt idx="95">
                  <c:v>5.0051981176163704E-2</c:v>
                </c:pt>
                <c:pt idx="96">
                  <c:v>4.9749405529351004E-2</c:v>
                </c:pt>
                <c:pt idx="97">
                  <c:v>4.9451414294550244E-2</c:v>
                </c:pt>
                <c:pt idx="98">
                  <c:v>4.9157894262156811E-2</c:v>
                </c:pt>
                <c:pt idx="99">
                  <c:v>4.8868736099160343E-2</c:v>
                </c:pt>
                <c:pt idx="100">
                  <c:v>4.8583834179766042E-2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5-A94A-B435-063C5EAD7A9D}"/>
            </c:ext>
          </c:extLst>
        </c:ser>
        <c:ser>
          <c:idx val="2"/>
          <c:order val="2"/>
          <c:tx>
            <c:v>95% credible interval, Lower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Check!$D$8:$D$108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Check!$G$8:$G$108</c:f>
              <c:numCache>
                <c:formatCode>0%</c:formatCode>
                <c:ptCount val="101"/>
                <c:pt idx="0">
                  <c:v>1</c:v>
                </c:pt>
                <c:pt idx="1">
                  <c:v>0.19529767723833333</c:v>
                </c:pt>
                <c:pt idx="2">
                  <c:v>0.13078002946488801</c:v>
                </c:pt>
                <c:pt idx="3">
                  <c:v>0.10115508993781289</c:v>
                </c:pt>
                <c:pt idx="4">
                  <c:v>8.0291003338175904E-2</c:v>
                </c:pt>
                <c:pt idx="5">
                  <c:v>6.632222401848463E-2</c:v>
                </c:pt>
                <c:pt idx="6">
                  <c:v>5.6418202340813947E-2</c:v>
                </c:pt>
                <c:pt idx="7">
                  <c:v>4.9287373230737411E-2</c:v>
                </c:pt>
                <c:pt idx="8">
                  <c:v>4.3710488926710693E-2</c:v>
                </c:pt>
                <c:pt idx="9">
                  <c:v>3.9225077536799421E-2</c:v>
                </c:pt>
                <c:pt idx="10">
                  <c:v>3.5537473869118957E-2</c:v>
                </c:pt>
                <c:pt idx="11">
                  <c:v>3.2451485765377215E-2</c:v>
                </c:pt>
                <c:pt idx="12">
                  <c:v>2.9830805067478105E-2</c:v>
                </c:pt>
                <c:pt idx="13">
                  <c:v>2.7577648790552044E-2</c:v>
                </c:pt>
                <c:pt idx="14">
                  <c:v>2.5619974320142458E-2</c:v>
                </c:pt>
                <c:pt idx="15">
                  <c:v>2.3903490886606722E-2</c:v>
                </c:pt>
                <c:pt idx="16">
                  <c:v>2.2386025669176322E-2</c:v>
                </c:pt>
                <c:pt idx="17">
                  <c:v>2.1002449432384031E-2</c:v>
                </c:pt>
                <c:pt idx="18">
                  <c:v>1.9764957021906636E-2</c:v>
                </c:pt>
                <c:pt idx="19">
                  <c:v>1.8651914641975499E-2</c:v>
                </c:pt>
                <c:pt idx="20">
                  <c:v>1.764575272352361E-2</c:v>
                </c:pt>
                <c:pt idx="21">
                  <c:v>1.6732052860631411E-2</c:v>
                </c:pt>
                <c:pt idx="22">
                  <c:v>1.5898870854274431E-2</c:v>
                </c:pt>
                <c:pt idx="23">
                  <c:v>1.513622742195939E-2</c:v>
                </c:pt>
                <c:pt idx="24">
                  <c:v>1.4435719948233542E-2</c:v>
                </c:pt>
                <c:pt idx="25">
                  <c:v>1.3790222930307686E-2</c:v>
                </c:pt>
                <c:pt idx="26">
                  <c:v>1.3193654305784905E-2</c:v>
                </c:pt>
                <c:pt idx="27">
                  <c:v>1.2640791328898745E-2</c:v>
                </c:pt>
                <c:pt idx="28">
                  <c:v>1.2127124138574702E-2</c:v>
                </c:pt>
                <c:pt idx="29">
                  <c:v>1.1648738301784256E-2</c:v>
                </c:pt>
                <c:pt idx="30">
                  <c:v>1.120221984890224E-2</c:v>
                </c:pt>
                <c:pt idx="31">
                  <c:v>1.0784577926441519E-2</c:v>
                </c:pt>
                <c:pt idx="32">
                  <c:v>1.0393181365109309E-2</c:v>
                </c:pt>
                <c:pt idx="33">
                  <c:v>1.0025706325269066E-2</c:v>
                </c:pt>
                <c:pt idx="34">
                  <c:v>9.6800928252861514E-3</c:v>
                </c:pt>
                <c:pt idx="35">
                  <c:v>9.3545084418799277E-3</c:v>
                </c:pt>
                <c:pt idx="36">
                  <c:v>9.0473178384307303E-3</c:v>
                </c:pt>
                <c:pt idx="37">
                  <c:v>8.7570570577632928E-3</c:v>
                </c:pt>
                <c:pt idx="38">
                  <c:v>8.4824117322236051E-3</c:v>
                </c:pt>
                <c:pt idx="39">
                  <c:v>8.2221985318648907E-3</c:v>
                </c:pt>
                <c:pt idx="40">
                  <c:v>7.9753493029498072E-3</c:v>
                </c:pt>
                <c:pt idx="41">
                  <c:v>7.7408974524330824E-3</c:v>
                </c:pt>
                <c:pt idx="42">
                  <c:v>7.5179662160532179E-3</c:v>
                </c:pt>
                <c:pt idx="43">
                  <c:v>7.3037632011523522E-3</c:v>
                </c:pt>
                <c:pt idx="44">
                  <c:v>7.0963403328688276E-3</c:v>
                </c:pt>
                <c:pt idx="45">
                  <c:v>6.8986209802873264E-3</c:v>
                </c:pt>
                <c:pt idx="46">
                  <c:v>6.7099696041961225E-3</c:v>
                </c:pt>
                <c:pt idx="47">
                  <c:v>6.529804038610601E-3</c:v>
                </c:pt>
                <c:pt idx="48">
                  <c:v>6.3575900453777482E-3</c:v>
                </c:pt>
                <c:pt idx="49">
                  <c:v>6.192836519738917E-3</c:v>
                </c:pt>
                <c:pt idx="50">
                  <c:v>6.0350912579902934E-3</c:v>
                </c:pt>
                <c:pt idx="51">
                  <c:v>5.8839372119716491E-3</c:v>
                </c:pt>
                <c:pt idx="52">
                  <c:v>5.7389891664047007E-3</c:v>
                </c:pt>
                <c:pt idx="53">
                  <c:v>5.5998907845259934E-3</c:v>
                </c:pt>
                <c:pt idx="54">
                  <c:v>5.4663119753532666E-3</c:v>
                </c:pt>
                <c:pt idx="55">
                  <c:v>5.3379465425484329E-3</c:v>
                </c:pt>
                <c:pt idx="56">
                  <c:v>5.214510080434648E-3</c:v>
                </c:pt>
                <c:pt idx="57">
                  <c:v>5.0957380874495362E-3</c:v>
                </c:pt>
                <c:pt idx="58">
                  <c:v>4.9813842713254727E-3</c:v>
                </c:pt>
                <c:pt idx="59">
                  <c:v>4.8712190237019948E-3</c:v>
                </c:pt>
                <c:pt idx="60">
                  <c:v>4.7650280447834124E-3</c:v>
                </c:pt>
                <c:pt idx="61">
                  <c:v>4.6626111011480263E-3</c:v>
                </c:pt>
                <c:pt idx="62">
                  <c:v>4.5637809019488714E-3</c:v>
                </c:pt>
                <c:pt idx="63">
                  <c:v>4.4683620805864022E-3</c:v>
                </c:pt>
                <c:pt idx="64">
                  <c:v>4.3761902705154064E-3</c:v>
                </c:pt>
                <c:pt idx="65">
                  <c:v>4.2871112652194008E-3</c:v>
                </c:pt>
                <c:pt idx="66">
                  <c:v>4.2009802535706488E-3</c:v>
                </c:pt>
                <c:pt idx="67">
                  <c:v>4.1176611228246843E-3</c:v>
                </c:pt>
                <c:pt idx="68">
                  <c:v>4.0370258223936997E-3</c:v>
                </c:pt>
                <c:pt idx="69">
                  <c:v>3.9589537823247842E-3</c:v>
                </c:pt>
                <c:pt idx="70">
                  <c:v>3.8833313810914122E-3</c:v>
                </c:pt>
                <c:pt idx="71">
                  <c:v>3.8100514579044757E-3</c:v>
                </c:pt>
                <c:pt idx="72">
                  <c:v>3.7390128652732141E-3</c:v>
                </c:pt>
                <c:pt idx="73">
                  <c:v>3.6701200580065985E-3</c:v>
                </c:pt>
                <c:pt idx="74">
                  <c:v>3.6032827152526177E-3</c:v>
                </c:pt>
                <c:pt idx="75">
                  <c:v>3.5384153925290792E-3</c:v>
                </c:pt>
                <c:pt idx="76">
                  <c:v>3.4754372010166955E-3</c:v>
                </c:pt>
                <c:pt idx="77">
                  <c:v>3.4142715116633306E-3</c:v>
                </c:pt>
                <c:pt idx="78">
                  <c:v>3.3548456818991461E-3</c:v>
                </c:pt>
                <c:pt idx="79">
                  <c:v>3.297090802978242E-3</c:v>
                </c:pt>
                <c:pt idx="80">
                  <c:v>3.2409414661623446E-3</c:v>
                </c:pt>
                <c:pt idx="81">
                  <c:v>3.1863355461322048E-3</c:v>
                </c:pt>
                <c:pt idx="82">
                  <c:v>3.1332140001719714E-3</c:v>
                </c:pt>
                <c:pt idx="83">
                  <c:v>3.0815206818063821E-3</c:v>
                </c:pt>
                <c:pt idx="84">
                  <c:v>3.0312021676984326E-3</c:v>
                </c:pt>
                <c:pt idx="85">
                  <c:v>2.9822075967231021E-3</c:v>
                </c:pt>
                <c:pt idx="86">
                  <c:v>2.9344885202349348E-3</c:v>
                </c:pt>
                <c:pt idx="87">
                  <c:v>2.8879987626347693E-3</c:v>
                </c:pt>
                <c:pt idx="88">
                  <c:v>2.84269429142322E-3</c:v>
                </c:pt>
                <c:pt idx="89">
                  <c:v>2.798533095998612E-3</c:v>
                </c:pt>
                <c:pt idx="90">
                  <c:v>2.755475074524802E-3</c:v>
                </c:pt>
                <c:pt idx="91">
                  <c:v>2.7134819282509078E-3</c:v>
                </c:pt>
                <c:pt idx="92">
                  <c:v>2.6725170627202423E-3</c:v>
                </c:pt>
                <c:pt idx="93">
                  <c:v>2.6325454953513043E-3</c:v>
                </c:pt>
                <c:pt idx="94">
                  <c:v>2.5935337689204419E-3</c:v>
                </c:pt>
                <c:pt idx="95">
                  <c:v>2.5554498705117473E-3</c:v>
                </c:pt>
                <c:pt idx="96">
                  <c:v>2.5182631555385054E-3</c:v>
                </c:pt>
                <c:pt idx="97">
                  <c:v>2.4819442764705824E-3</c:v>
                </c:pt>
                <c:pt idx="98">
                  <c:v>2.4464651159342931E-3</c:v>
                </c:pt>
                <c:pt idx="99">
                  <c:v>2.411798723874961E-3</c:v>
                </c:pt>
                <c:pt idx="100">
                  <c:v>2.377919258499886E-3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A5-A94A-B435-063C5EAD7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973888"/>
        <c:axId val="515972544"/>
      </c:lineChart>
      <c:catAx>
        <c:axId val="51597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72544"/>
        <c:crosses val="autoZero"/>
        <c:auto val="1"/>
        <c:lblAlgn val="ctr"/>
        <c:lblOffset val="100"/>
        <c:noMultiLvlLbl val="0"/>
      </c:catAx>
      <c:valAx>
        <c:axId val="515972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7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259884</xdr:colOff>
      <xdr:row>6</xdr:row>
      <xdr:rowOff>11978</xdr:rowOff>
    </xdr:from>
    <xdr:to>
      <xdr:col>15</xdr:col>
      <xdr:colOff>772160</xdr:colOff>
      <xdr:row>25</xdr:row>
      <xdr:rowOff>111760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55CFF-F55B-5465-01F0-9A65D1FFF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SMS_Work/R&amp;D/Uncertainty_analysis_Epi_model/Tool_Uncertainty_Epi_model_2026.03.27_DZ_Apr7.xlsm" TargetMode="External"/><Relationship Id="rId2" Type="http://schemas.openxmlformats.org/officeDocument/2006/relationships/externalLinkPath" Target="/Users/xinzhao/ISMS_Work/R&amp;D/Uncertainty_analysis_Epi_model/Tool_Uncertainty_Epi_model_2026.03.27_DZ_Apr7.xlsm" TargetMode="External"/><Relationship Id="rId1" Type="http://schemas.openxmlformats.org/officeDocument/2006/relationships/externalLinkPath" Target="/Users/xinzhao/ISMS_Work/R&amp;D/Uncertainty_analysis_Epi_model/Tool_Uncertainty_Epi_model_2026.03.27_DZ_Apr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Workflow"/>
      <sheetName val="In_DiagPrev"/>
      <sheetName val="In_TrueBirthPrev"/>
      <sheetName val="In_Consanguinity"/>
      <sheetName val="In_Distribution"/>
      <sheetName val="In_Curve"/>
      <sheetName val="In_PopSize"/>
      <sheetName val="Out_Prevalence"/>
      <sheetName val="Out_PatientPool"/>
      <sheetName val="Out_DPrev_Pool"/>
      <sheetName val="Summary"/>
      <sheetName val="Summary-Diag"/>
      <sheetName val="Dashboard"/>
      <sheetName val="Parameter"/>
      <sheetName val="PSA_Main"/>
      <sheetName val="PSA_Data_summary"/>
      <sheetName val="DSA_main"/>
      <sheetName val="DSA_result_raw"/>
      <sheetName val="DSA_result_sorted"/>
      <sheetName val="Note"/>
      <sheetName val="Engine"/>
      <sheetName val="Data_Dashboard (hidden)"/>
      <sheetName val="USA_DOK7"/>
      <sheetName val="USA_MuSK"/>
      <sheetName val="USA_AGRN"/>
      <sheetName val="USA_LRP4"/>
      <sheetName val="Germany_DOK7"/>
      <sheetName val="Germany_MuSK"/>
      <sheetName val="Germany_AGRN"/>
      <sheetName val="Germany_LRP4"/>
      <sheetName val="France_DOK7"/>
      <sheetName val="France_MuSK"/>
      <sheetName val="France_AGRN"/>
      <sheetName val="France_LRP4"/>
      <sheetName val="Italy_DOK7"/>
      <sheetName val="Italy_MuSK"/>
      <sheetName val="Italy_AGRN"/>
      <sheetName val="Italy_LRP4"/>
      <sheetName val="Spain_DOK7"/>
      <sheetName val="Spain_MuSK"/>
      <sheetName val="Spain_AGRN"/>
      <sheetName val="Spain_LRP4"/>
      <sheetName val="UK_DOK7"/>
      <sheetName val="UK_MuSK"/>
      <sheetName val="UK_AGRN"/>
      <sheetName val="UK_LRP4"/>
      <sheetName val="Japan_DOK7"/>
      <sheetName val="Japan_MuSK"/>
      <sheetName val="Japan_AGRN"/>
      <sheetName val="Japan_LRP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0">
          <cell r="J30">
            <v>-1.5365580000000001</v>
          </cell>
        </row>
        <row r="31">
          <cell r="J31">
            <v>2.910571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5">
          <cell r="R15" t="str">
            <v>DOK7</v>
          </cell>
        </row>
        <row r="16">
          <cell r="R16" t="str">
            <v>MuSK</v>
          </cell>
        </row>
        <row r="17">
          <cell r="R17" t="str">
            <v>AGRN</v>
          </cell>
        </row>
        <row r="18">
          <cell r="R18" t="str">
            <v>LRP4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B5D5-02DA-204B-86AB-C07316CE40D9}">
  <sheetPr codeName="Sheet1"/>
  <dimension ref="C1:H16"/>
  <sheetViews>
    <sheetView showGridLines="0" zoomScale="140" workbookViewId="0">
      <selection activeCell="J24" sqref="J24"/>
    </sheetView>
  </sheetViews>
  <sheetFormatPr baseColWidth="10" defaultRowHeight="16" x14ac:dyDescent="0.2"/>
  <cols>
    <col min="1" max="3" width="10.83203125" style="7"/>
    <col min="4" max="4" width="10" style="7" customWidth="1"/>
    <col min="5" max="5" width="21.1640625" style="7" customWidth="1"/>
    <col min="6" max="6" width="18.6640625" style="7" customWidth="1"/>
    <col min="7" max="7" width="16.6640625" style="7" customWidth="1"/>
    <col min="8" max="16384" width="10.83203125" style="7"/>
  </cols>
  <sheetData>
    <row r="1" spans="3:8" s="18" customFormat="1" ht="45" customHeight="1" x14ac:dyDescent="0.2">
      <c r="C1" s="22" t="s">
        <v>22</v>
      </c>
    </row>
    <row r="5" spans="3:8" x14ac:dyDescent="0.2">
      <c r="D5" s="19" t="s">
        <v>16</v>
      </c>
      <c r="E5" s="19"/>
      <c r="F5" s="19"/>
      <c r="G5" s="19"/>
      <c r="H5" s="19"/>
    </row>
    <row r="7" spans="3:8" ht="17" x14ac:dyDescent="0.2">
      <c r="D7" s="2"/>
      <c r="E7" s="4" t="s">
        <v>5</v>
      </c>
      <c r="F7" s="3" t="s">
        <v>0</v>
      </c>
      <c r="G7" s="1" t="s">
        <v>1</v>
      </c>
    </row>
    <row r="8" spans="3:8" x14ac:dyDescent="0.2">
      <c r="D8" s="1" t="s">
        <v>2</v>
      </c>
      <c r="E8" s="8">
        <v>-1.5365580000000001</v>
      </c>
      <c r="F8" s="24">
        <v>5.6800000000000003E-2</v>
      </c>
      <c r="G8" s="25">
        <f>SQRT(F8)</f>
        <v>0.23832750575625972</v>
      </c>
    </row>
    <row r="9" spans="3:8" x14ac:dyDescent="0.2">
      <c r="D9" s="1" t="s">
        <v>3</v>
      </c>
      <c r="E9" s="8">
        <v>2.910571</v>
      </c>
      <c r="F9" s="24">
        <v>2.8400000000000002E-2</v>
      </c>
      <c r="G9" s="25">
        <f>F10/G8</f>
        <v>0</v>
      </c>
    </row>
    <row r="10" spans="3:8" x14ac:dyDescent="0.2">
      <c r="D10" s="1"/>
      <c r="E10" s="8"/>
      <c r="F10" s="24">
        <v>0</v>
      </c>
      <c r="G10" s="25">
        <f>SQRT((F9-G9^2))</f>
        <v>0.16852299546352717</v>
      </c>
    </row>
    <row r="14" spans="3:8" x14ac:dyDescent="0.2">
      <c r="D14" s="23" t="s">
        <v>18</v>
      </c>
      <c r="E14" s="23"/>
      <c r="F14" s="23"/>
      <c r="G14" s="23"/>
      <c r="H14" s="23"/>
    </row>
    <row r="15" spans="3:8" x14ac:dyDescent="0.2">
      <c r="D15" s="23"/>
      <c r="E15" s="23"/>
      <c r="F15" s="23"/>
      <c r="G15" s="23"/>
      <c r="H15" s="23"/>
    </row>
    <row r="16" spans="3:8" x14ac:dyDescent="0.2">
      <c r="D16" s="23"/>
      <c r="E16" s="23"/>
      <c r="F16" s="23"/>
      <c r="G16" s="23"/>
      <c r="H16" s="23"/>
    </row>
  </sheetData>
  <mergeCells count="1">
    <mergeCell ref="D14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806E-7C74-2C4D-BB45-75C2ED89CA1C}">
  <sheetPr codeName="Sheet2"/>
  <dimension ref="C1:H13"/>
  <sheetViews>
    <sheetView showGridLines="0" tabSelected="1" zoomScale="129" workbookViewId="0">
      <selection activeCell="F23" sqref="F23"/>
    </sheetView>
  </sheetViews>
  <sheetFormatPr baseColWidth="10" defaultRowHeight="16" x14ac:dyDescent="0.2"/>
  <cols>
    <col min="4" max="4" width="25" customWidth="1"/>
    <col min="5" max="5" width="19.83203125" customWidth="1"/>
    <col min="6" max="7" width="20.6640625" customWidth="1"/>
  </cols>
  <sheetData>
    <row r="1" spans="3:8" s="18" customFormat="1" ht="45" customHeight="1" x14ac:dyDescent="0.2">
      <c r="C1" s="22" t="s">
        <v>23</v>
      </c>
    </row>
    <row r="3" spans="3:8" x14ac:dyDescent="0.2">
      <c r="D3" s="20" t="s">
        <v>17</v>
      </c>
      <c r="E3" s="20"/>
      <c r="F3" s="20"/>
      <c r="G3" s="20"/>
      <c r="H3" s="20"/>
    </row>
    <row r="5" spans="3:8" ht="17" x14ac:dyDescent="0.2">
      <c r="D5" s="4" t="s">
        <v>4</v>
      </c>
      <c r="E5" s="4" t="s">
        <v>6</v>
      </c>
      <c r="F5" s="4" t="s">
        <v>7</v>
      </c>
      <c r="G5" s="4" t="s">
        <v>5</v>
      </c>
    </row>
    <row r="6" spans="3:8" x14ac:dyDescent="0.2">
      <c r="D6" s="6" t="s">
        <v>8</v>
      </c>
      <c r="E6" s="17">
        <f ca="1">_xlfn.NORM.S.INV(RAND())*Helper!G8 + Parameter!G6</f>
        <v>-1.2943384230339579</v>
      </c>
      <c r="F6" s="6" t="s">
        <v>10</v>
      </c>
      <c r="G6" s="5">
        <v>-1.5365580000000001</v>
      </c>
    </row>
    <row r="7" spans="3:8" x14ac:dyDescent="0.2">
      <c r="D7" s="6" t="s">
        <v>9</v>
      </c>
      <c r="E7" s="17">
        <f ca="1">_xlfn.NORM.S.INV(RAND())*Helper!G9 + _xlfn.NORM.S.INV(RAND())*Helper!G10 + Parameter!G7</f>
        <v>2.7538794849738308</v>
      </c>
      <c r="F7" s="6" t="s">
        <v>10</v>
      </c>
      <c r="G7" s="5">
        <v>2.910571</v>
      </c>
    </row>
    <row r="11" spans="3:8" x14ac:dyDescent="0.2">
      <c r="D11" s="23" t="s">
        <v>19</v>
      </c>
      <c r="E11" s="23"/>
      <c r="F11" s="23"/>
      <c r="G11" s="23"/>
      <c r="H11" s="23"/>
    </row>
    <row r="12" spans="3:8" x14ac:dyDescent="0.2">
      <c r="D12" s="23"/>
      <c r="E12" s="23"/>
      <c r="F12" s="23"/>
      <c r="G12" s="23"/>
      <c r="H12" s="23"/>
    </row>
    <row r="13" spans="3:8" x14ac:dyDescent="0.2">
      <c r="D13" s="23"/>
      <c r="E13" s="23"/>
      <c r="F13" s="23"/>
      <c r="G13" s="23"/>
      <c r="H13" s="23"/>
    </row>
  </sheetData>
  <mergeCells count="1">
    <mergeCell ref="D11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F46-3C66-7946-B59B-0F363F0E99AA}">
  <sheetPr codeName="Sheet3"/>
  <dimension ref="C1:DO108"/>
  <sheetViews>
    <sheetView showGridLines="0" zoomScale="125" workbookViewId="0">
      <selection activeCell="Q32" sqref="Q32"/>
    </sheetView>
  </sheetViews>
  <sheetFormatPr baseColWidth="10" defaultRowHeight="16" x14ac:dyDescent="0.2"/>
  <cols>
    <col min="1" max="4" width="10.83203125" style="9"/>
    <col min="5" max="5" width="15.33203125" style="9" customWidth="1"/>
    <col min="6" max="6" width="11.6640625" style="9" customWidth="1"/>
    <col min="7" max="7" width="12.83203125" style="9" customWidth="1"/>
    <col min="8" max="17" width="10.83203125" style="9"/>
    <col min="18" max="18" width="16.6640625" style="9" customWidth="1"/>
    <col min="19" max="16384" width="10.83203125" style="9"/>
  </cols>
  <sheetData>
    <row r="1" spans="3:119" s="18" customFormat="1" ht="45" customHeight="1" x14ac:dyDescent="0.2">
      <c r="C1" s="22" t="s">
        <v>24</v>
      </c>
    </row>
    <row r="5" spans="3:119" ht="16" customHeight="1" x14ac:dyDescent="0.2">
      <c r="D5" s="21" t="s">
        <v>20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R5" s="21" t="s">
        <v>21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</row>
    <row r="7" spans="3:119" s="10" customFormat="1" ht="51" x14ac:dyDescent="0.2">
      <c r="D7" s="11" t="s">
        <v>11</v>
      </c>
      <c r="E7" s="12" t="s">
        <v>13</v>
      </c>
      <c r="F7" s="12" t="s">
        <v>14</v>
      </c>
      <c r="G7" s="12" t="s">
        <v>15</v>
      </c>
      <c r="R7" s="12" t="s">
        <v>12</v>
      </c>
      <c r="S7" s="11">
        <v>1</v>
      </c>
      <c r="T7" s="11">
        <v>2</v>
      </c>
      <c r="U7" s="11">
        <v>3</v>
      </c>
      <c r="V7" s="11">
        <v>4</v>
      </c>
      <c r="W7" s="11">
        <v>5</v>
      </c>
      <c r="X7" s="11">
        <v>6</v>
      </c>
      <c r="Y7" s="11">
        <v>7</v>
      </c>
      <c r="Z7" s="11">
        <v>8</v>
      </c>
      <c r="AA7" s="11">
        <v>9</v>
      </c>
      <c r="AB7" s="11">
        <v>10</v>
      </c>
      <c r="AC7" s="11">
        <v>11</v>
      </c>
      <c r="AD7" s="11">
        <v>12</v>
      </c>
      <c r="AE7" s="11">
        <v>13</v>
      </c>
      <c r="AF7" s="11">
        <v>14</v>
      </c>
      <c r="AG7" s="11">
        <v>15</v>
      </c>
      <c r="AH7" s="11">
        <v>16</v>
      </c>
      <c r="AI7" s="11">
        <v>17</v>
      </c>
      <c r="AJ7" s="11">
        <v>18</v>
      </c>
      <c r="AK7" s="11">
        <v>19</v>
      </c>
      <c r="AL7" s="11">
        <v>20</v>
      </c>
      <c r="AM7" s="11">
        <v>21</v>
      </c>
      <c r="AN7" s="11">
        <v>22</v>
      </c>
      <c r="AO7" s="11">
        <v>23</v>
      </c>
      <c r="AP7" s="11">
        <v>24</v>
      </c>
      <c r="AQ7" s="11">
        <v>25</v>
      </c>
      <c r="AR7" s="11">
        <v>26</v>
      </c>
      <c r="AS7" s="11">
        <v>27</v>
      </c>
      <c r="AT7" s="11">
        <v>28</v>
      </c>
      <c r="AU7" s="11">
        <v>29</v>
      </c>
      <c r="AV7" s="11">
        <v>30</v>
      </c>
      <c r="AW7" s="11">
        <v>31</v>
      </c>
      <c r="AX7" s="11">
        <v>32</v>
      </c>
      <c r="AY7" s="11">
        <v>33</v>
      </c>
      <c r="AZ7" s="11">
        <v>34</v>
      </c>
      <c r="BA7" s="11">
        <v>35</v>
      </c>
      <c r="BB7" s="11">
        <v>36</v>
      </c>
      <c r="BC7" s="11">
        <v>37</v>
      </c>
      <c r="BD7" s="11">
        <v>38</v>
      </c>
      <c r="BE7" s="11">
        <v>39</v>
      </c>
      <c r="BF7" s="11">
        <v>40</v>
      </c>
      <c r="BG7" s="11">
        <v>41</v>
      </c>
      <c r="BH7" s="11">
        <v>42</v>
      </c>
      <c r="BI7" s="11">
        <v>43</v>
      </c>
      <c r="BJ7" s="11">
        <v>44</v>
      </c>
      <c r="BK7" s="11">
        <v>45</v>
      </c>
      <c r="BL7" s="11">
        <v>46</v>
      </c>
      <c r="BM7" s="11">
        <v>47</v>
      </c>
      <c r="BN7" s="11">
        <v>48</v>
      </c>
      <c r="BO7" s="11">
        <v>49</v>
      </c>
      <c r="BP7" s="11">
        <v>50</v>
      </c>
      <c r="BQ7" s="11">
        <v>51</v>
      </c>
      <c r="BR7" s="11">
        <v>52</v>
      </c>
      <c r="BS7" s="11">
        <v>53</v>
      </c>
      <c r="BT7" s="11">
        <v>54</v>
      </c>
      <c r="BU7" s="11">
        <v>55</v>
      </c>
      <c r="BV7" s="11">
        <v>56</v>
      </c>
      <c r="BW7" s="11">
        <v>57</v>
      </c>
      <c r="BX7" s="11">
        <v>58</v>
      </c>
      <c r="BY7" s="11">
        <v>59</v>
      </c>
      <c r="BZ7" s="11">
        <v>60</v>
      </c>
      <c r="CA7" s="11">
        <v>61</v>
      </c>
      <c r="CB7" s="11">
        <v>62</v>
      </c>
      <c r="CC7" s="11">
        <v>63</v>
      </c>
      <c r="CD7" s="11">
        <v>64</v>
      </c>
      <c r="CE7" s="11">
        <v>65</v>
      </c>
      <c r="CF7" s="11">
        <v>66</v>
      </c>
      <c r="CG7" s="11">
        <v>67</v>
      </c>
      <c r="CH7" s="11">
        <v>68</v>
      </c>
      <c r="CI7" s="11">
        <v>69</v>
      </c>
      <c r="CJ7" s="11">
        <v>70</v>
      </c>
      <c r="CK7" s="11">
        <v>71</v>
      </c>
      <c r="CL7" s="11">
        <v>72</v>
      </c>
      <c r="CM7" s="11">
        <v>73</v>
      </c>
      <c r="CN7" s="11">
        <v>74</v>
      </c>
      <c r="CO7" s="11">
        <v>75</v>
      </c>
      <c r="CP7" s="11">
        <v>76</v>
      </c>
      <c r="CQ7" s="11">
        <v>77</v>
      </c>
      <c r="CR7" s="11">
        <v>78</v>
      </c>
      <c r="CS7" s="11">
        <v>79</v>
      </c>
      <c r="CT7" s="11">
        <v>80</v>
      </c>
      <c r="CU7" s="11">
        <v>81</v>
      </c>
      <c r="CV7" s="11">
        <v>82</v>
      </c>
      <c r="CW7" s="11">
        <v>83</v>
      </c>
      <c r="CX7" s="11">
        <v>84</v>
      </c>
      <c r="CY7" s="11">
        <v>85</v>
      </c>
      <c r="CZ7" s="11">
        <v>86</v>
      </c>
      <c r="DA7" s="11">
        <v>87</v>
      </c>
      <c r="DB7" s="11">
        <v>88</v>
      </c>
      <c r="DC7" s="11">
        <v>89</v>
      </c>
      <c r="DD7" s="11">
        <v>90</v>
      </c>
      <c r="DE7" s="11">
        <v>91</v>
      </c>
      <c r="DF7" s="11">
        <v>92</v>
      </c>
      <c r="DG7" s="11">
        <v>93</v>
      </c>
      <c r="DH7" s="11">
        <v>94</v>
      </c>
      <c r="DI7" s="11">
        <v>95</v>
      </c>
      <c r="DJ7" s="11">
        <v>96</v>
      </c>
      <c r="DK7" s="11">
        <v>97</v>
      </c>
      <c r="DL7" s="11">
        <v>98</v>
      </c>
      <c r="DM7" s="11">
        <v>99</v>
      </c>
      <c r="DN7" s="11">
        <v>100</v>
      </c>
    </row>
    <row r="8" spans="3:119" x14ac:dyDescent="0.2">
      <c r="D8" s="13">
        <v>0</v>
      </c>
      <c r="E8" s="14">
        <f>1-IFERROR(_xlfn.LOGNORM.DIST(D8,Parameter!$G$6,Parameter!$G$7,TRUE),0)</f>
        <v>1</v>
      </c>
      <c r="F8" s="15">
        <f>_xlfn.PERCENTILE.INC(S8:DN8,0.975)</f>
        <v>1</v>
      </c>
      <c r="G8" s="15">
        <f>_xlfn.PERCENTILE.INC(S8:DN8,0.025)</f>
        <v>1</v>
      </c>
      <c r="R8" s="14">
        <f ca="1">1-IFERROR(_xlfn.LOGNORM.DIST($D8,Parameter!$E$6,Parameter!$E$7,TRUE),0)</f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16">
        <v>1</v>
      </c>
      <c r="BO8" s="16">
        <v>1</v>
      </c>
      <c r="BP8" s="16">
        <v>1</v>
      </c>
      <c r="BQ8" s="16">
        <v>1</v>
      </c>
      <c r="BR8" s="16">
        <v>1</v>
      </c>
      <c r="BS8" s="16">
        <v>1</v>
      </c>
      <c r="BT8" s="16">
        <v>1</v>
      </c>
      <c r="BU8" s="16">
        <v>1</v>
      </c>
      <c r="BV8" s="16">
        <v>1</v>
      </c>
      <c r="BW8" s="16">
        <v>1</v>
      </c>
      <c r="BX8" s="16">
        <v>1</v>
      </c>
      <c r="BY8" s="16">
        <v>1</v>
      </c>
      <c r="BZ8" s="16">
        <v>1</v>
      </c>
      <c r="CA8" s="16">
        <v>1</v>
      </c>
      <c r="CB8" s="16">
        <v>1</v>
      </c>
      <c r="CC8" s="16">
        <v>1</v>
      </c>
      <c r="CD8" s="16">
        <v>1</v>
      </c>
      <c r="CE8" s="16">
        <v>1</v>
      </c>
      <c r="CF8" s="16">
        <v>1</v>
      </c>
      <c r="CG8" s="16">
        <v>1</v>
      </c>
      <c r="CH8" s="16">
        <v>1</v>
      </c>
      <c r="CI8" s="16">
        <v>1</v>
      </c>
      <c r="CJ8" s="16">
        <v>1</v>
      </c>
      <c r="CK8" s="16">
        <v>1</v>
      </c>
      <c r="CL8" s="16">
        <v>1</v>
      </c>
      <c r="CM8" s="16">
        <v>1</v>
      </c>
      <c r="CN8" s="16">
        <v>1</v>
      </c>
      <c r="CO8" s="16">
        <v>1</v>
      </c>
      <c r="CP8" s="16">
        <v>1</v>
      </c>
      <c r="CQ8" s="16">
        <v>1</v>
      </c>
      <c r="CR8" s="16">
        <v>1</v>
      </c>
      <c r="CS8" s="16">
        <v>1</v>
      </c>
      <c r="CT8" s="16">
        <v>1</v>
      </c>
      <c r="CU8" s="16">
        <v>1</v>
      </c>
      <c r="CV8" s="16">
        <v>1</v>
      </c>
      <c r="CW8" s="16">
        <v>1</v>
      </c>
      <c r="CX8" s="16">
        <v>1</v>
      </c>
      <c r="CY8" s="16">
        <v>1</v>
      </c>
      <c r="CZ8" s="16">
        <v>1</v>
      </c>
      <c r="DA8" s="16">
        <v>1</v>
      </c>
      <c r="DB8" s="16">
        <v>1</v>
      </c>
      <c r="DC8" s="16">
        <v>1</v>
      </c>
      <c r="DD8" s="16">
        <v>1</v>
      </c>
      <c r="DE8" s="16">
        <v>1</v>
      </c>
      <c r="DF8" s="16">
        <v>1</v>
      </c>
      <c r="DG8" s="16">
        <v>1</v>
      </c>
      <c r="DH8" s="16">
        <v>1</v>
      </c>
      <c r="DI8" s="16">
        <v>1</v>
      </c>
      <c r="DJ8" s="16">
        <v>1</v>
      </c>
      <c r="DK8" s="16">
        <v>1</v>
      </c>
      <c r="DL8" s="16">
        <v>1</v>
      </c>
      <c r="DM8" s="16">
        <v>1</v>
      </c>
      <c r="DN8" s="16">
        <v>1</v>
      </c>
    </row>
    <row r="9" spans="3:119" x14ac:dyDescent="0.2">
      <c r="D9" s="13">
        <v>1</v>
      </c>
      <c r="E9" s="14">
        <f>1-IFERROR(_xlfn.LOGNORM.DIST(D9,Parameter!$G$6,Parameter!$G$7,TRUE),0)</f>
        <v>0.29877631554826678</v>
      </c>
      <c r="F9" s="15">
        <f t="shared" ref="F9:F72" si="0">_xlfn.PERCENTILE.INC(S9:DN9,0.975)</f>
        <v>0.42279239492505416</v>
      </c>
      <c r="G9" s="15">
        <f t="shared" ref="G9:G72" si="1">_xlfn.PERCENTILE.INC(S9:DN9,0.025)</f>
        <v>0.19529767723833333</v>
      </c>
      <c r="R9" s="14">
        <f ca="1">1-IFERROR(_xlfn.LOGNORM.DIST($D9,Parameter!$E$6,Parameter!$E$7,TRUE),0)</f>
        <v>0.31917555458411639</v>
      </c>
      <c r="S9" s="16">
        <v>0.19291856038693034</v>
      </c>
      <c r="T9" s="16">
        <v>0.22675424865971072</v>
      </c>
      <c r="U9" s="16">
        <v>0.37019856988967703</v>
      </c>
      <c r="V9" s="16">
        <v>0.37457934846636398</v>
      </c>
      <c r="W9" s="16">
        <v>0.23870758690335636</v>
      </c>
      <c r="X9" s="16">
        <v>0.29850669023854515</v>
      </c>
      <c r="Y9" s="16">
        <v>0.21461573551323032</v>
      </c>
      <c r="Z9" s="16">
        <v>0.23900348873687616</v>
      </c>
      <c r="AA9" s="16">
        <v>0.3298710874390357</v>
      </c>
      <c r="AB9" s="16">
        <v>0.38884470575637686</v>
      </c>
      <c r="AC9" s="16">
        <v>0.28890238978746041</v>
      </c>
      <c r="AD9" s="16">
        <v>0.28510848119033605</v>
      </c>
      <c r="AE9" s="16">
        <v>0.29137779851791112</v>
      </c>
      <c r="AF9" s="16">
        <v>0.32950329026040825</v>
      </c>
      <c r="AG9" s="16">
        <v>0.40937073220081532</v>
      </c>
      <c r="AH9" s="16">
        <v>0.28363452384111199</v>
      </c>
      <c r="AI9" s="16">
        <v>0.2147785575263248</v>
      </c>
      <c r="AJ9" s="16">
        <v>0.24487411044442076</v>
      </c>
      <c r="AK9" s="16">
        <v>0.28433068427540586</v>
      </c>
      <c r="AL9" s="16">
        <v>0.2591748584771616</v>
      </c>
      <c r="AM9" s="16">
        <v>0.24447127750732522</v>
      </c>
      <c r="AN9" s="16">
        <v>0.37255438441815325</v>
      </c>
      <c r="AO9" s="16">
        <v>0.24586455926627271</v>
      </c>
      <c r="AP9" s="16">
        <v>0.26466944379852331</v>
      </c>
      <c r="AQ9" s="16">
        <v>0.24499548826641826</v>
      </c>
      <c r="AR9" s="16">
        <v>0.32159429829544517</v>
      </c>
      <c r="AS9" s="16">
        <v>0.29431416450807935</v>
      </c>
      <c r="AT9" s="16">
        <v>0.32466950595123212</v>
      </c>
      <c r="AU9" s="16">
        <v>0.37085820878316267</v>
      </c>
      <c r="AV9" s="16">
        <v>0.34624735378950477</v>
      </c>
      <c r="AW9" s="16">
        <v>0.26853731716964813</v>
      </c>
      <c r="AX9" s="16">
        <v>0.23753424373433263</v>
      </c>
      <c r="AY9" s="16">
        <v>0.35137947574176187</v>
      </c>
      <c r="AZ9" s="16">
        <v>0.27071095095462039</v>
      </c>
      <c r="BA9" s="16">
        <v>0.40730356966362602</v>
      </c>
      <c r="BB9" s="16">
        <v>0.2845228645428588</v>
      </c>
      <c r="BC9" s="16">
        <v>0.38464592299754041</v>
      </c>
      <c r="BD9" s="16">
        <v>0.21519110824957388</v>
      </c>
      <c r="BE9" s="16">
        <v>0.32302197301535795</v>
      </c>
      <c r="BF9" s="16">
        <v>0.2458779187255784</v>
      </c>
      <c r="BG9" s="16">
        <v>0.38948778303401321</v>
      </c>
      <c r="BH9" s="16">
        <v>0.29596633743748346</v>
      </c>
      <c r="BI9" s="16">
        <v>0.27240608712642222</v>
      </c>
      <c r="BJ9" s="16">
        <v>0.32068341064871952</v>
      </c>
      <c r="BK9" s="16">
        <v>0.26154983715275115</v>
      </c>
      <c r="BL9" s="16">
        <v>0.38540746493400935</v>
      </c>
      <c r="BM9" s="16">
        <v>0.31822809402727659</v>
      </c>
      <c r="BN9" s="16">
        <v>0.30782839136363482</v>
      </c>
      <c r="BO9" s="16">
        <v>0.29159213458214661</v>
      </c>
      <c r="BP9" s="16">
        <v>0.3470822102397324</v>
      </c>
      <c r="BQ9" s="16">
        <v>0.26312421364433669</v>
      </c>
      <c r="BR9" s="16">
        <v>0.28886037158902034</v>
      </c>
      <c r="BS9" s="16">
        <v>0.24744224341309029</v>
      </c>
      <c r="BT9" s="16">
        <v>0.40587055842119724</v>
      </c>
      <c r="BU9" s="16">
        <v>0.22301159276694338</v>
      </c>
      <c r="BV9" s="16">
        <v>0.38272239519621265</v>
      </c>
      <c r="BW9" s="16">
        <v>0.30752441754296134</v>
      </c>
      <c r="BX9" s="16">
        <v>0.39621912841257745</v>
      </c>
      <c r="BY9" s="16">
        <v>0.32905872392715918</v>
      </c>
      <c r="BZ9" s="16">
        <v>0.32727804393806825</v>
      </c>
      <c r="CA9" s="16">
        <v>0.1812081593079049</v>
      </c>
      <c r="CB9" s="16">
        <v>0.4364290958908541</v>
      </c>
      <c r="CC9" s="16">
        <v>0.35155850389310328</v>
      </c>
      <c r="CD9" s="16">
        <v>0.33392753681515386</v>
      </c>
      <c r="CE9" s="16">
        <v>0.29337019155529342</v>
      </c>
      <c r="CF9" s="16">
        <v>0.277995241940032</v>
      </c>
      <c r="CG9" s="16">
        <v>0.31870942415317249</v>
      </c>
      <c r="CH9" s="16">
        <v>0.22101058962283893</v>
      </c>
      <c r="CI9" s="16">
        <v>0.18196615094383639</v>
      </c>
      <c r="CJ9" s="16">
        <v>0.34584467760614035</v>
      </c>
      <c r="CK9" s="16">
        <v>0.25206891753002902</v>
      </c>
      <c r="CL9" s="16">
        <v>0.30655415371619621</v>
      </c>
      <c r="CM9" s="16">
        <v>0.21119572568526168</v>
      </c>
      <c r="CN9" s="16">
        <v>0.29359774486050871</v>
      </c>
      <c r="CO9" s="16">
        <v>0.35675223445145676</v>
      </c>
      <c r="CP9" s="16">
        <v>0.26145567548124216</v>
      </c>
      <c r="CQ9" s="16">
        <v>0.28868851143067631</v>
      </c>
      <c r="CR9" s="16">
        <v>0.26227326598232348</v>
      </c>
      <c r="CS9" s="16">
        <v>0.19998008260797484</v>
      </c>
      <c r="CT9" s="16">
        <v>0.44147130365584597</v>
      </c>
      <c r="CU9" s="16">
        <v>0.21408934267390456</v>
      </c>
      <c r="CV9" s="16">
        <v>0.29713791317067917</v>
      </c>
      <c r="CW9" s="16">
        <v>0.32314390493226752</v>
      </c>
      <c r="CX9" s="16">
        <v>0.19842044500842537</v>
      </c>
      <c r="CY9" s="16">
        <v>0.38625676059694891</v>
      </c>
      <c r="CZ9" s="16">
        <v>0.26563008341789363</v>
      </c>
      <c r="DA9" s="16">
        <v>0.25193526393175536</v>
      </c>
      <c r="DB9" s="16">
        <v>0.43493580405650878</v>
      </c>
      <c r="DC9" s="16">
        <v>0.33802241510672071</v>
      </c>
      <c r="DD9" s="16">
        <v>0.38427314031921878</v>
      </c>
      <c r="DE9" s="16">
        <v>0.31682082075922202</v>
      </c>
      <c r="DF9" s="16">
        <v>0.24657101204165466</v>
      </c>
      <c r="DG9" s="16">
        <v>0.31376336196507815</v>
      </c>
      <c r="DH9" s="16">
        <v>0.3458627673742487</v>
      </c>
      <c r="DI9" s="16">
        <v>0.27616235766906327</v>
      </c>
      <c r="DJ9" s="16">
        <v>0.27770958465096729</v>
      </c>
      <c r="DK9" s="16">
        <v>0.24068410007371899</v>
      </c>
      <c r="DL9" s="16">
        <v>0.19792722744251556</v>
      </c>
      <c r="DM9" s="16">
        <v>0.25312819060374137</v>
      </c>
      <c r="DN9" s="16">
        <v>0.217747319722287</v>
      </c>
    </row>
    <row r="10" spans="3:119" x14ac:dyDescent="0.2">
      <c r="D10" s="13">
        <v>2</v>
      </c>
      <c r="E10" s="14">
        <f>1-IFERROR(_xlfn.LOGNORM.DIST(D10,Parameter!$G$6,Parameter!$G$7,TRUE),0)</f>
        <v>0.22181691171816875</v>
      </c>
      <c r="F10" s="15">
        <f t="shared" si="0"/>
        <v>0.32378167869144131</v>
      </c>
      <c r="G10" s="15">
        <f t="shared" si="1"/>
        <v>0.13078002946488801</v>
      </c>
      <c r="R10" s="14">
        <f ca="1">1-IFERROR(_xlfn.LOGNORM.DIST($D10,Parameter!$E$6,Parameter!$E$7,TRUE),0)</f>
        <v>0.23523826752621513</v>
      </c>
      <c r="S10" s="16">
        <v>0.1323196482413268</v>
      </c>
      <c r="T10" s="16">
        <v>0.1541841830617432</v>
      </c>
      <c r="U10" s="16">
        <v>0.27721117093323477</v>
      </c>
      <c r="V10" s="16">
        <v>0.29752622726287004</v>
      </c>
      <c r="W10" s="16">
        <v>0.17232474852014246</v>
      </c>
      <c r="X10" s="16">
        <v>0.20857208086627455</v>
      </c>
      <c r="Y10" s="16">
        <v>0.14260170138959682</v>
      </c>
      <c r="Z10" s="16">
        <v>0.17674962246869741</v>
      </c>
      <c r="AA10" s="16">
        <v>0.25612338355211428</v>
      </c>
      <c r="AB10" s="16">
        <v>0.29549773866404505</v>
      </c>
      <c r="AC10" s="16">
        <v>0.21135404898084353</v>
      </c>
      <c r="AD10" s="16">
        <v>0.20885300566307918</v>
      </c>
      <c r="AE10" s="16">
        <v>0.21542713240679623</v>
      </c>
      <c r="AF10" s="16">
        <v>0.24989314156067233</v>
      </c>
      <c r="AG10" s="16">
        <v>0.2964252466146744</v>
      </c>
      <c r="AH10" s="16">
        <v>0.21719041703506503</v>
      </c>
      <c r="AI10" s="16">
        <v>0.14662264482702969</v>
      </c>
      <c r="AJ10" s="16">
        <v>0.16557340146433241</v>
      </c>
      <c r="AK10" s="16">
        <v>0.22156890251598593</v>
      </c>
      <c r="AL10" s="16">
        <v>0.1899323421288146</v>
      </c>
      <c r="AM10" s="16">
        <v>0.1559394460347564</v>
      </c>
      <c r="AN10" s="16">
        <v>0.29685489118308994</v>
      </c>
      <c r="AO10" s="16">
        <v>0.17272045999583296</v>
      </c>
      <c r="AP10" s="16">
        <v>0.20182032657587623</v>
      </c>
      <c r="AQ10" s="16">
        <v>0.18359849102649006</v>
      </c>
      <c r="AR10" s="16">
        <v>0.23033298429150428</v>
      </c>
      <c r="AS10" s="16">
        <v>0.2179008258762668</v>
      </c>
      <c r="AT10" s="16">
        <v>0.25113639435337576</v>
      </c>
      <c r="AU10" s="16">
        <v>0.29488479843264592</v>
      </c>
      <c r="AV10" s="16">
        <v>0.25779382937282869</v>
      </c>
      <c r="AW10" s="16">
        <v>0.20677925378446693</v>
      </c>
      <c r="AX10" s="16">
        <v>0.15974257228962263</v>
      </c>
      <c r="AY10" s="16">
        <v>0.25522990854642735</v>
      </c>
      <c r="AZ10" s="16">
        <v>0.19909562291285299</v>
      </c>
      <c r="BA10" s="16">
        <v>0.30863277549892465</v>
      </c>
      <c r="BB10" s="16">
        <v>0.2026759188681968</v>
      </c>
      <c r="BC10" s="16">
        <v>0.29139490319216976</v>
      </c>
      <c r="BD10" s="16">
        <v>0.157432973513288</v>
      </c>
      <c r="BE10" s="16">
        <v>0.24550988404485197</v>
      </c>
      <c r="BF10" s="16">
        <v>0.16069919178005798</v>
      </c>
      <c r="BG10" s="16">
        <v>0.29546008418730585</v>
      </c>
      <c r="BH10" s="16">
        <v>0.22545180491739014</v>
      </c>
      <c r="BI10" s="16">
        <v>0.20526633539847683</v>
      </c>
      <c r="BJ10" s="16">
        <v>0.24459429934470966</v>
      </c>
      <c r="BK10" s="16">
        <v>0.19536835918360262</v>
      </c>
      <c r="BL10" s="16">
        <v>0.29525301877657373</v>
      </c>
      <c r="BM10" s="16">
        <v>0.24245813559442309</v>
      </c>
      <c r="BN10" s="16">
        <v>0.22008939026183727</v>
      </c>
      <c r="BO10" s="16">
        <v>0.21942601991478261</v>
      </c>
      <c r="BP10" s="16">
        <v>0.28187004634402468</v>
      </c>
      <c r="BQ10" s="16">
        <v>0.19826215726965146</v>
      </c>
      <c r="BR10" s="16">
        <v>0.20603631874936723</v>
      </c>
      <c r="BS10" s="16">
        <v>0.18532812463086867</v>
      </c>
      <c r="BT10" s="16">
        <v>0.3143328201804384</v>
      </c>
      <c r="BU10" s="16">
        <v>0.13989442879926717</v>
      </c>
      <c r="BV10" s="16">
        <v>0.3140206127909283</v>
      </c>
      <c r="BW10" s="16">
        <v>0.22845628204944024</v>
      </c>
      <c r="BX10" s="16">
        <v>0.30586405866978084</v>
      </c>
      <c r="BY10" s="16">
        <v>0.26015322297606813</v>
      </c>
      <c r="BZ10" s="16">
        <v>0.23291905552517078</v>
      </c>
      <c r="CA10" s="16">
        <v>0.10158030157926612</v>
      </c>
      <c r="CB10" s="16">
        <v>0.35364491230389916</v>
      </c>
      <c r="CC10" s="16">
        <v>0.26168772759761216</v>
      </c>
      <c r="CD10" s="16">
        <v>0.25910149236480506</v>
      </c>
      <c r="CE10" s="16">
        <v>0.22234244197089592</v>
      </c>
      <c r="CF10" s="16">
        <v>0.20483772408953305</v>
      </c>
      <c r="CG10" s="16">
        <v>0.23527267927788065</v>
      </c>
      <c r="CH10" s="16">
        <v>0.14388724574141842</v>
      </c>
      <c r="CI10" s="16">
        <v>0.12781731200726842</v>
      </c>
      <c r="CJ10" s="16">
        <v>0.27152368067040011</v>
      </c>
      <c r="CK10" s="16">
        <v>0.17121208563210599</v>
      </c>
      <c r="CL10" s="16">
        <v>0.22106009890583822</v>
      </c>
      <c r="CM10" s="16">
        <v>0.14364831959914559</v>
      </c>
      <c r="CN10" s="16">
        <v>0.22484187534424982</v>
      </c>
      <c r="CO10" s="16">
        <v>0.2791747563799134</v>
      </c>
      <c r="CP10" s="16">
        <v>0.17867252689752389</v>
      </c>
      <c r="CQ10" s="16">
        <v>0.21302157929300924</v>
      </c>
      <c r="CR10" s="16">
        <v>0.18889361140519279</v>
      </c>
      <c r="CS10" s="16">
        <v>0.12938704104811005</v>
      </c>
      <c r="CT10" s="16">
        <v>0.33363596356421354</v>
      </c>
      <c r="CU10" s="16">
        <v>0.13580841318480963</v>
      </c>
      <c r="CV10" s="16">
        <v>0.22710502729177495</v>
      </c>
      <c r="CW10" s="16">
        <v>0.24881150298930332</v>
      </c>
      <c r="CX10" s="16">
        <v>0.13908683353084006</v>
      </c>
      <c r="CY10" s="16">
        <v>0.30682144088395225</v>
      </c>
      <c r="CZ10" s="16">
        <v>0.17301647552884569</v>
      </c>
      <c r="DA10" s="16">
        <v>0.19154323842976906</v>
      </c>
      <c r="DB10" s="16">
        <v>0.33233064591568229</v>
      </c>
      <c r="DC10" s="16">
        <v>0.24084257967838085</v>
      </c>
      <c r="DD10" s="16">
        <v>0.28023099298102239</v>
      </c>
      <c r="DE10" s="16">
        <v>0.23670697655202477</v>
      </c>
      <c r="DF10" s="16">
        <v>0.17990031542526441</v>
      </c>
      <c r="DG10" s="16">
        <v>0.24567214985942964</v>
      </c>
      <c r="DH10" s="16">
        <v>0.26879765896495877</v>
      </c>
      <c r="DI10" s="16">
        <v>0.19934927161601124</v>
      </c>
      <c r="DJ10" s="16">
        <v>0.19448341831127558</v>
      </c>
      <c r="DK10" s="16">
        <v>0.1733712269059311</v>
      </c>
      <c r="DL10" s="16">
        <v>0.13639734253507663</v>
      </c>
      <c r="DM10" s="16">
        <v>0.17561080939496332</v>
      </c>
      <c r="DN10" s="16">
        <v>0.13942722342130809</v>
      </c>
    </row>
    <row r="11" spans="3:119" x14ac:dyDescent="0.2">
      <c r="D11" s="13">
        <v>3</v>
      </c>
      <c r="E11" s="14">
        <f>1-IFERROR(_xlfn.LOGNORM.DIST(D11,Parameter!$G$6,Parameter!$G$7,TRUE),0)</f>
        <v>0.18263227967649287</v>
      </c>
      <c r="F11" s="15">
        <f t="shared" si="0"/>
        <v>0.27616929694219572</v>
      </c>
      <c r="G11" s="15">
        <f t="shared" si="1"/>
        <v>0.10115508993781289</v>
      </c>
      <c r="R11" s="14">
        <f ca="1">1-IFERROR(_xlfn.LOGNORM.DIST($D11,Parameter!$E$6,Parameter!$E$7,TRUE),0)</f>
        <v>0.19244050387770217</v>
      </c>
      <c r="S11" s="16">
        <v>0.10370130468764893</v>
      </c>
      <c r="T11" s="16">
        <v>0.11978759276708595</v>
      </c>
      <c r="U11" s="16">
        <v>0.22870127540590679</v>
      </c>
      <c r="V11" s="16">
        <v>0.25610127722697551</v>
      </c>
      <c r="W11" s="16">
        <v>0.13957679636858189</v>
      </c>
      <c r="X11" s="16">
        <v>0.16434740896741029</v>
      </c>
      <c r="Y11" s="16">
        <v>0.10907966327995111</v>
      </c>
      <c r="Z11" s="16">
        <v>0.14559210249074894</v>
      </c>
      <c r="AA11" s="16">
        <v>0.21735609153484625</v>
      </c>
      <c r="AB11" s="16">
        <v>0.2461686500247382</v>
      </c>
      <c r="AC11" s="16">
        <v>0.17229671287432513</v>
      </c>
      <c r="AD11" s="16">
        <v>0.17045631598587774</v>
      </c>
      <c r="AE11" s="16">
        <v>0.17692013511742266</v>
      </c>
      <c r="AF11" s="16">
        <v>0.20855688119859461</v>
      </c>
      <c r="AG11" s="16">
        <v>0.23778591043901764</v>
      </c>
      <c r="AH11" s="16">
        <v>0.18290542949200406</v>
      </c>
      <c r="AI11" s="16">
        <v>0.11434301240421474</v>
      </c>
      <c r="AJ11" s="16">
        <v>0.12792851489661405</v>
      </c>
      <c r="AK11" s="16">
        <v>0.18886853650583013</v>
      </c>
      <c r="AL11" s="16">
        <v>0.15529001722226754</v>
      </c>
      <c r="AM11" s="16">
        <v>0.11544616155430931</v>
      </c>
      <c r="AN11" s="16">
        <v>0.25611871032620503</v>
      </c>
      <c r="AO11" s="16">
        <v>0.13716048603649278</v>
      </c>
      <c r="AP11" s="16">
        <v>0.16960935596398352</v>
      </c>
      <c r="AQ11" s="16">
        <v>0.15258606516031659</v>
      </c>
      <c r="AR11" s="16">
        <v>0.18450586809699088</v>
      </c>
      <c r="AS11" s="16">
        <v>0.17909938952732007</v>
      </c>
      <c r="AT11" s="16">
        <v>0.21260685461884643</v>
      </c>
      <c r="AU11" s="16">
        <v>0.25405883977046217</v>
      </c>
      <c r="AV11" s="16">
        <v>0.21210287509424786</v>
      </c>
      <c r="AW11" s="16">
        <v>0.17492591183467299</v>
      </c>
      <c r="AX11" s="16">
        <v>0.12301567185974183</v>
      </c>
      <c r="AY11" s="16">
        <v>0.2061429737246856</v>
      </c>
      <c r="AZ11" s="16">
        <v>0.16308702193208935</v>
      </c>
      <c r="BA11" s="16">
        <v>0.25627038638174315</v>
      </c>
      <c r="BB11" s="16">
        <v>0.16213087322726549</v>
      </c>
      <c r="BC11" s="16">
        <v>0.24225344846525676</v>
      </c>
      <c r="BD11" s="16">
        <v>0.12887524174868492</v>
      </c>
      <c r="BE11" s="16">
        <v>0.20528483204134762</v>
      </c>
      <c r="BF11" s="16">
        <v>0.12110966003246226</v>
      </c>
      <c r="BG11" s="16">
        <v>0.24580512553896106</v>
      </c>
      <c r="BH11" s="16">
        <v>0.1890624826916133</v>
      </c>
      <c r="BI11" s="16">
        <v>0.17102308781520981</v>
      </c>
      <c r="BJ11" s="16">
        <v>0.20505754768351836</v>
      </c>
      <c r="BK11" s="16">
        <v>0.16186968636841081</v>
      </c>
      <c r="BL11" s="16">
        <v>0.24747154868725141</v>
      </c>
      <c r="BM11" s="16">
        <v>0.2031345248709524</v>
      </c>
      <c r="BN11" s="16">
        <v>0.17624800671039342</v>
      </c>
      <c r="BO11" s="16">
        <v>0.1824732046468065</v>
      </c>
      <c r="BP11" s="16">
        <v>0.24667887641030428</v>
      </c>
      <c r="BQ11" s="16">
        <v>0.16525516197494916</v>
      </c>
      <c r="BR11" s="16">
        <v>0.16492661215422544</v>
      </c>
      <c r="BS11" s="16">
        <v>0.15394557849563828</v>
      </c>
      <c r="BT11" s="16">
        <v>0.26527375609764614</v>
      </c>
      <c r="BU11" s="16">
        <v>0.10253472682795661</v>
      </c>
      <c r="BV11" s="16">
        <v>0.2764651838222465</v>
      </c>
      <c r="BW11" s="16">
        <v>0.18809132173971554</v>
      </c>
      <c r="BX11" s="16">
        <v>0.2576492576805447</v>
      </c>
      <c r="BY11" s="16">
        <v>0.22360464542407299</v>
      </c>
      <c r="BZ11" s="16">
        <v>0.18562756254226664</v>
      </c>
      <c r="CA11" s="16">
        <v>6.8870762432784671E-2</v>
      </c>
      <c r="CB11" s="16">
        <v>0.3079955968046898</v>
      </c>
      <c r="CC11" s="16">
        <v>0.21520023540664557</v>
      </c>
      <c r="CD11" s="16">
        <v>0.21974077463368258</v>
      </c>
      <c r="CE11" s="16">
        <v>0.18581323557246066</v>
      </c>
      <c r="CF11" s="16">
        <v>0.16794551923059697</v>
      </c>
      <c r="CG11" s="16">
        <v>0.19269794530215556</v>
      </c>
      <c r="CH11" s="16">
        <v>0.10839087027064576</v>
      </c>
      <c r="CI11" s="16">
        <v>0.10192640377547646</v>
      </c>
      <c r="CJ11" s="16">
        <v>0.23207901537507003</v>
      </c>
      <c r="CK11" s="16">
        <v>0.13264160212258602</v>
      </c>
      <c r="CL11" s="16">
        <v>0.17814717258062218</v>
      </c>
      <c r="CM11" s="16">
        <v>0.11176235186522543</v>
      </c>
      <c r="CN11" s="16">
        <v>0.18927760943115324</v>
      </c>
      <c r="CO11" s="16">
        <v>0.23795405671985381</v>
      </c>
      <c r="CP11" s="16">
        <v>0.13892877852558305</v>
      </c>
      <c r="CQ11" s="16">
        <v>0.17472750270126347</v>
      </c>
      <c r="CR11" s="16">
        <v>0.15252501703102517</v>
      </c>
      <c r="CS11" s="16">
        <v>9.7224578924188454E-2</v>
      </c>
      <c r="CT11" s="16">
        <v>0.27584226407477119</v>
      </c>
      <c r="CU11" s="16">
        <v>0.10045723456087918</v>
      </c>
      <c r="CV11" s="16">
        <v>0.19088792330027005</v>
      </c>
      <c r="CW11" s="16">
        <v>0.20997090752985548</v>
      </c>
      <c r="CX11" s="16">
        <v>0.11063508268562683</v>
      </c>
      <c r="CY11" s="16">
        <v>0.26398417839541888</v>
      </c>
      <c r="CZ11" s="16">
        <v>0.12980915609346511</v>
      </c>
      <c r="DA11" s="16">
        <v>0.16073406062430595</v>
      </c>
      <c r="DB11" s="16">
        <v>0.27718298001739761</v>
      </c>
      <c r="DC11" s="16">
        <v>0.19194937667996936</v>
      </c>
      <c r="DD11" s="16">
        <v>0.22646069060278429</v>
      </c>
      <c r="DE11" s="16">
        <v>0.19557927455082169</v>
      </c>
      <c r="DF11" s="16">
        <v>0.14673608744837741</v>
      </c>
      <c r="DG11" s="16">
        <v>0.20986289945295444</v>
      </c>
      <c r="DH11" s="16">
        <v>0.2281027850121673</v>
      </c>
      <c r="DI11" s="16">
        <v>0.16108850819637244</v>
      </c>
      <c r="DJ11" s="16">
        <v>0.15374454765987244</v>
      </c>
      <c r="DK11" s="16">
        <v>0.14019153952466756</v>
      </c>
      <c r="DL11" s="16">
        <v>0.10721298682990732</v>
      </c>
      <c r="DM11" s="16">
        <v>0.13813743058195205</v>
      </c>
      <c r="DN11" s="16">
        <v>0.10380178192326106</v>
      </c>
    </row>
    <row r="12" spans="3:119" x14ac:dyDescent="0.2">
      <c r="D12" s="13">
        <v>4</v>
      </c>
      <c r="E12" s="14">
        <f>1-IFERROR(_xlfn.LOGNORM.DIST(D12,Parameter!$G$6,Parameter!$G$7,TRUE),0)</f>
        <v>0.15763639537956531</v>
      </c>
      <c r="F12" s="15">
        <f t="shared" si="0"/>
        <v>0.23959429792226331</v>
      </c>
      <c r="G12" s="15">
        <f t="shared" si="1"/>
        <v>8.0291003338175904E-2</v>
      </c>
      <c r="R12" s="14">
        <f ca="1">1-IFERROR(_xlfn.LOGNORM.DIST($D12,Parameter!$E$6,Parameter!$E$7,TRUE),0)</f>
        <v>0.16517668373389527</v>
      </c>
      <c r="S12" s="16">
        <v>8.6316176666532018E-2</v>
      </c>
      <c r="T12" s="16">
        <v>9.8920913553291245E-2</v>
      </c>
      <c r="U12" s="16">
        <v>0.19739431519872352</v>
      </c>
      <c r="V12" s="16">
        <v>0.22864745593227398</v>
      </c>
      <c r="W12" s="16">
        <v>0.11908550349344904</v>
      </c>
      <c r="X12" s="16">
        <v>0.13696185870332933</v>
      </c>
      <c r="Y12" s="16">
        <v>8.9006371601257905E-2</v>
      </c>
      <c r="Z12" s="16">
        <v>0.1258696822742178</v>
      </c>
      <c r="AA12" s="16">
        <v>0.19203617537856521</v>
      </c>
      <c r="AB12" s="16">
        <v>0.21404723562064598</v>
      </c>
      <c r="AC12" s="16">
        <v>0.1475798724021774</v>
      </c>
      <c r="AD12" s="16">
        <v>0.14615147779516646</v>
      </c>
      <c r="AE12" s="16">
        <v>0.15242288104601975</v>
      </c>
      <c r="AF12" s="16">
        <v>0.18184218478729375</v>
      </c>
      <c r="AG12" s="16">
        <v>0.20038249956859511</v>
      </c>
      <c r="AH12" s="16">
        <v>0.16075585737621312</v>
      </c>
      <c r="AI12" s="16">
        <v>9.4741820244012454E-2</v>
      </c>
      <c r="AJ12" s="16">
        <v>0.10512037057527157</v>
      </c>
      <c r="AK12" s="16">
        <v>0.16757646765877221</v>
      </c>
      <c r="AL12" s="16">
        <v>0.13341336311234453</v>
      </c>
      <c r="AM12" s="16">
        <v>9.1663107657742104E-2</v>
      </c>
      <c r="AN12" s="16">
        <v>0.22909210993423712</v>
      </c>
      <c r="AO12" s="16">
        <v>0.11519063176583355</v>
      </c>
      <c r="AP12" s="16">
        <v>0.14887786673328118</v>
      </c>
      <c r="AQ12" s="16">
        <v>0.13282214364755141</v>
      </c>
      <c r="AR12" s="16">
        <v>0.15570780304256038</v>
      </c>
      <c r="AS12" s="16">
        <v>0.15439130644220955</v>
      </c>
      <c r="AT12" s="16">
        <v>0.18749764757646492</v>
      </c>
      <c r="AU12" s="16">
        <v>0.22700133646192255</v>
      </c>
      <c r="AV12" s="16">
        <v>0.1827719156314952</v>
      </c>
      <c r="AW12" s="16">
        <v>0.15432656786295407</v>
      </c>
      <c r="AX12" s="16">
        <v>0.10084062557257101</v>
      </c>
      <c r="AY12" s="16">
        <v>0.17498565805177868</v>
      </c>
      <c r="AZ12" s="16">
        <v>0.14028321468837379</v>
      </c>
      <c r="BA12" s="16">
        <v>0.22214402090065066</v>
      </c>
      <c r="BB12" s="16">
        <v>0.13681420833649416</v>
      </c>
      <c r="BC12" s="16">
        <v>0.21031544730653162</v>
      </c>
      <c r="BD12" s="16">
        <v>0.11093124409286248</v>
      </c>
      <c r="BE12" s="16">
        <v>0.17928046899718919</v>
      </c>
      <c r="BF12" s="16">
        <v>9.7546697785580783E-2</v>
      </c>
      <c r="BG12" s="16">
        <v>0.21349531837289437</v>
      </c>
      <c r="BH12" s="16">
        <v>0.16557965231518879</v>
      </c>
      <c r="BI12" s="16">
        <v>0.14908609626029223</v>
      </c>
      <c r="BJ12" s="16">
        <v>0.17946358313754096</v>
      </c>
      <c r="BK12" s="16">
        <v>0.14051921660177324</v>
      </c>
      <c r="BL12" s="16">
        <v>0.21625709092748235</v>
      </c>
      <c r="BM12" s="16">
        <v>0.17769756490832422</v>
      </c>
      <c r="BN12" s="16">
        <v>0.14875975764378435</v>
      </c>
      <c r="BO12" s="16">
        <v>0.15876975640742186</v>
      </c>
      <c r="BP12" s="16">
        <v>0.2232149635810482</v>
      </c>
      <c r="BQ12" s="16">
        <v>0.14412993192861046</v>
      </c>
      <c r="BR12" s="16">
        <v>0.13922977894754252</v>
      </c>
      <c r="BS12" s="16">
        <v>0.13394626410153343</v>
      </c>
      <c r="BT12" s="16">
        <v>0.23299129805493446</v>
      </c>
      <c r="BU12" s="16">
        <v>8.0827674401006799E-2</v>
      </c>
      <c r="BV12" s="16">
        <v>0.25122723609031072</v>
      </c>
      <c r="BW12" s="16">
        <v>0.16231179749677849</v>
      </c>
      <c r="BX12" s="16">
        <v>0.22600426259977702</v>
      </c>
      <c r="BY12" s="16">
        <v>0.19954924053249079</v>
      </c>
      <c r="BZ12" s="16">
        <v>0.15598596562534106</v>
      </c>
      <c r="CA12" s="16">
        <v>5.1084692660793074E-2</v>
      </c>
      <c r="CB12" s="16">
        <v>0.27727100388809112</v>
      </c>
      <c r="CC12" s="16">
        <v>0.18534394721945224</v>
      </c>
      <c r="CD12" s="16">
        <v>0.19402964154206881</v>
      </c>
      <c r="CE12" s="16">
        <v>0.1623006371920499</v>
      </c>
      <c r="CF12" s="16">
        <v>0.14454445543419481</v>
      </c>
      <c r="CG12" s="16">
        <v>0.16555680120607108</v>
      </c>
      <c r="CH12" s="16">
        <v>8.7351167818305653E-2</v>
      </c>
      <c r="CI12" s="16">
        <v>8.6025755286934569E-2</v>
      </c>
      <c r="CJ12" s="16">
        <v>0.20614824186702962</v>
      </c>
      <c r="CK12" s="16">
        <v>0.1092027166286641</v>
      </c>
      <c r="CL12" s="16">
        <v>0.15113113479671536</v>
      </c>
      <c r="CM12" s="16">
        <v>9.2442653946125053E-2</v>
      </c>
      <c r="CN12" s="16">
        <v>0.16627755002435429</v>
      </c>
      <c r="CO12" s="16">
        <v>0.21086138073124394</v>
      </c>
      <c r="CP12" s="16">
        <v>0.1146802987813299</v>
      </c>
      <c r="CQ12" s="16">
        <v>0.15039480744437228</v>
      </c>
      <c r="CR12" s="16">
        <v>0.12974259868838367</v>
      </c>
      <c r="CS12" s="16">
        <v>7.8256897493232835E-2</v>
      </c>
      <c r="CT12" s="16">
        <v>0.23806204204651316</v>
      </c>
      <c r="CU12" s="16">
        <v>7.9805443805138432E-2</v>
      </c>
      <c r="CV12" s="16">
        <v>0.1674780126913773</v>
      </c>
      <c r="CW12" s="16">
        <v>0.18471442005053174</v>
      </c>
      <c r="CX12" s="16">
        <v>9.3153088052272848E-2</v>
      </c>
      <c r="CY12" s="16">
        <v>0.23555566830061503</v>
      </c>
      <c r="CZ12" s="16">
        <v>0.10409819450739322</v>
      </c>
      <c r="DA12" s="16">
        <v>0.14095585264859334</v>
      </c>
      <c r="DB12" s="16">
        <v>0.24098062466698966</v>
      </c>
      <c r="DC12" s="16">
        <v>0.16125251505788007</v>
      </c>
      <c r="DD12" s="16">
        <v>0.19214093334343152</v>
      </c>
      <c r="DE12" s="16">
        <v>0.16921718337241609</v>
      </c>
      <c r="DF12" s="16">
        <v>0.12586238539438743</v>
      </c>
      <c r="DG12" s="16">
        <v>0.18642874630974404</v>
      </c>
      <c r="DH12" s="16">
        <v>0.20146711254164784</v>
      </c>
      <c r="DI12" s="16">
        <v>0.13706182191089744</v>
      </c>
      <c r="DJ12" s="16">
        <v>0.12853871539334571</v>
      </c>
      <c r="DK12" s="16">
        <v>0.11944822545528211</v>
      </c>
      <c r="DL12" s="16">
        <v>8.9433688091005603E-2</v>
      </c>
      <c r="DM12" s="16">
        <v>0.11511500012718534</v>
      </c>
      <c r="DN12" s="16">
        <v>8.2878198733239761E-2</v>
      </c>
    </row>
    <row r="13" spans="3:119" x14ac:dyDescent="0.2">
      <c r="D13" s="13">
        <v>5</v>
      </c>
      <c r="E13" s="14">
        <f>1-IFERROR(_xlfn.LOGNORM.DIST(D13,Parameter!$G$6,Parameter!$G$7,TRUE),0)</f>
        <v>0.13987387781248761</v>
      </c>
      <c r="F13" s="15">
        <f t="shared" si="0"/>
        <v>0.21474972910652657</v>
      </c>
      <c r="G13" s="15">
        <f t="shared" si="1"/>
        <v>6.632222401848463E-2</v>
      </c>
      <c r="R13" s="14">
        <f ca="1">1-IFERROR(_xlfn.LOGNORM.DIST($D13,Parameter!$E$6,Parameter!$E$7,TRUE),0)</f>
        <v>0.14584278157660191</v>
      </c>
      <c r="S13" s="16">
        <v>7.4407559268459766E-2</v>
      </c>
      <c r="T13" s="16">
        <v>8.4667019869959503E-2</v>
      </c>
      <c r="U13" s="16">
        <v>0.17499509894582288</v>
      </c>
      <c r="V13" s="16">
        <v>0.20854320055478304</v>
      </c>
      <c r="W13" s="16">
        <v>0.10472492027773406</v>
      </c>
      <c r="X13" s="16">
        <v>0.117993762152384</v>
      </c>
      <c r="Y13" s="16">
        <v>7.5436014157721276E-2</v>
      </c>
      <c r="Z13" s="16">
        <v>0.11191334846717627</v>
      </c>
      <c r="AA13" s="16">
        <v>0.17369707679815127</v>
      </c>
      <c r="AB13" s="16">
        <v>0.19090438021246148</v>
      </c>
      <c r="AC13" s="16">
        <v>0.13012799726526081</v>
      </c>
      <c r="AD13" s="16">
        <v>0.12898397623358049</v>
      </c>
      <c r="AE13" s="16">
        <v>0.13504960685889866</v>
      </c>
      <c r="AF13" s="16">
        <v>0.16266832283744437</v>
      </c>
      <c r="AG13" s="16">
        <v>0.17396305111334287</v>
      </c>
      <c r="AH13" s="16">
        <v>0.14483523066286808</v>
      </c>
      <c r="AI13" s="16">
        <v>8.1333626171235407E-2</v>
      </c>
      <c r="AJ13" s="16">
        <v>8.9571757211412417E-2</v>
      </c>
      <c r="AK13" s="16">
        <v>0.15217063732785641</v>
      </c>
      <c r="AL13" s="16">
        <v>0.11797529419181274</v>
      </c>
      <c r="AM13" s="16">
        <v>7.5875578138877464E-2</v>
      </c>
      <c r="AN13" s="16">
        <v>0.20928029574174922</v>
      </c>
      <c r="AO13" s="16">
        <v>9.9963196383107134E-2</v>
      </c>
      <c r="AP13" s="16">
        <v>0.13401418182146008</v>
      </c>
      <c r="AQ13" s="16">
        <v>0.11875981881029429</v>
      </c>
      <c r="AR13" s="16">
        <v>0.13552948367949613</v>
      </c>
      <c r="AS13" s="16">
        <v>0.13685638834152902</v>
      </c>
      <c r="AT13" s="16">
        <v>0.1693421405177572</v>
      </c>
      <c r="AU13" s="16">
        <v>0.20718396551993323</v>
      </c>
      <c r="AV13" s="16">
        <v>0.16185960366423036</v>
      </c>
      <c r="AW13" s="16">
        <v>0.13950007575095225</v>
      </c>
      <c r="AX13" s="16">
        <v>8.5762248748092351E-2</v>
      </c>
      <c r="AY13" s="16">
        <v>0.1529966554764528</v>
      </c>
      <c r="AZ13" s="16">
        <v>0.12415977017206292</v>
      </c>
      <c r="BA13" s="16">
        <v>0.19756209461085583</v>
      </c>
      <c r="BB13" s="16">
        <v>0.11913991068664365</v>
      </c>
      <c r="BC13" s="16">
        <v>0.18733898089986922</v>
      </c>
      <c r="BD13" s="16">
        <v>9.8300437173964195E-2</v>
      </c>
      <c r="BE13" s="16">
        <v>0.16060648927970733</v>
      </c>
      <c r="BF13" s="16">
        <v>8.1727320254040503E-2</v>
      </c>
      <c r="BG13" s="16">
        <v>0.19023281792870828</v>
      </c>
      <c r="BH13" s="16">
        <v>0.14872426332895849</v>
      </c>
      <c r="BI13" s="16">
        <v>0.13342419447927645</v>
      </c>
      <c r="BJ13" s="16">
        <v>0.1610610849786277</v>
      </c>
      <c r="BK13" s="16">
        <v>0.12533582812368649</v>
      </c>
      <c r="BL13" s="16">
        <v>0.19369879490918906</v>
      </c>
      <c r="BM13" s="16">
        <v>0.15941794504463969</v>
      </c>
      <c r="BN13" s="16">
        <v>0.12952314938169485</v>
      </c>
      <c r="BO13" s="16">
        <v>0.14184037152036899</v>
      </c>
      <c r="BP13" s="16">
        <v>0.20592495599363825</v>
      </c>
      <c r="BQ13" s="16">
        <v>0.12905446035448631</v>
      </c>
      <c r="BR13" s="16">
        <v>0.12127727436519609</v>
      </c>
      <c r="BS13" s="16">
        <v>0.11971795985023859</v>
      </c>
      <c r="BT13" s="16">
        <v>0.20953363868428521</v>
      </c>
      <c r="BU13" s="16">
        <v>6.6531165792588443E-2</v>
      </c>
      <c r="BV13" s="16">
        <v>0.23252433996067357</v>
      </c>
      <c r="BW13" s="16">
        <v>0.1439805240487817</v>
      </c>
      <c r="BX13" s="16">
        <v>0.20305176512927958</v>
      </c>
      <c r="BY13" s="16">
        <v>0.1820094702822117</v>
      </c>
      <c r="BZ13" s="16">
        <v>0.13526984741264392</v>
      </c>
      <c r="CA13" s="16">
        <v>3.9980811848299491E-2</v>
      </c>
      <c r="CB13" s="16">
        <v>0.25451994226630514</v>
      </c>
      <c r="CC13" s="16">
        <v>0.16405391467987429</v>
      </c>
      <c r="CD13" s="16">
        <v>0.17540780987957127</v>
      </c>
      <c r="CE13" s="16">
        <v>0.14545922400794109</v>
      </c>
      <c r="CF13" s="16">
        <v>0.12798096280574478</v>
      </c>
      <c r="CG13" s="16">
        <v>0.14629752486474956</v>
      </c>
      <c r="CH13" s="16">
        <v>7.3255005592889888E-2</v>
      </c>
      <c r="CI13" s="16">
        <v>7.5029682170249412E-2</v>
      </c>
      <c r="CJ13" s="16">
        <v>0.18727188986080323</v>
      </c>
      <c r="CK13" s="16">
        <v>9.3189418358506471E-2</v>
      </c>
      <c r="CL13" s="16">
        <v>0.13215678989216273</v>
      </c>
      <c r="CM13" s="16">
        <v>7.9249120149613939E-2</v>
      </c>
      <c r="CN13" s="16">
        <v>0.14973678037176197</v>
      </c>
      <c r="CO13" s="16">
        <v>0.19115122688734199</v>
      </c>
      <c r="CP13" s="16">
        <v>9.8065477941366108E-2</v>
      </c>
      <c r="CQ13" s="16">
        <v>0.13315393454414814</v>
      </c>
      <c r="CR13" s="16">
        <v>0.11377706963331602</v>
      </c>
      <c r="CS13" s="16">
        <v>6.5587917669245988E-2</v>
      </c>
      <c r="CT13" s="16">
        <v>0.21082992177189774</v>
      </c>
      <c r="CU13" s="16">
        <v>6.6133181460962143E-2</v>
      </c>
      <c r="CV13" s="16">
        <v>0.15065224041370162</v>
      </c>
      <c r="CW13" s="16">
        <v>0.16648584228668573</v>
      </c>
      <c r="CX13" s="16">
        <v>8.1066700275369996E-2</v>
      </c>
      <c r="CY13" s="16">
        <v>0.21472259356047674</v>
      </c>
      <c r="CZ13" s="16">
        <v>8.6860670119290551E-2</v>
      </c>
      <c r="DA13" s="16">
        <v>0.12680031560516314</v>
      </c>
      <c r="DB13" s="16">
        <v>0.21477428031485735</v>
      </c>
      <c r="DC13" s="16">
        <v>0.13978023807397399</v>
      </c>
      <c r="DD13" s="16">
        <v>0.16784651503363612</v>
      </c>
      <c r="DE13" s="16">
        <v>0.15042049058935081</v>
      </c>
      <c r="DF13" s="16">
        <v>0.11116603245380696</v>
      </c>
      <c r="DG13" s="16">
        <v>0.16941676726810861</v>
      </c>
      <c r="DH13" s="16">
        <v>0.18215135389611303</v>
      </c>
      <c r="DI13" s="16">
        <v>0.12019940703640941</v>
      </c>
      <c r="DJ13" s="16">
        <v>0.11107393445925651</v>
      </c>
      <c r="DK13" s="16">
        <v>0.10492290188620401</v>
      </c>
      <c r="DL13" s="16">
        <v>7.7228977354368955E-2</v>
      </c>
      <c r="DM13" s="16">
        <v>9.923957492426283E-2</v>
      </c>
      <c r="DN13" s="16">
        <v>6.8965964371030974E-2</v>
      </c>
    </row>
    <row r="14" spans="3:119" x14ac:dyDescent="0.2">
      <c r="D14" s="13">
        <v>6</v>
      </c>
      <c r="E14" s="14">
        <f>1-IFERROR(_xlfn.LOGNORM.DIST(D14,Parameter!$G$6,Parameter!$G$7,TRUE),0)</f>
        <v>0.12640985818161421</v>
      </c>
      <c r="F14" s="15">
        <f t="shared" si="0"/>
        <v>0.19668324662832315</v>
      </c>
      <c r="G14" s="15">
        <f t="shared" si="1"/>
        <v>5.6418202340813947E-2</v>
      </c>
      <c r="R14" s="14">
        <f ca="1">1-IFERROR(_xlfn.LOGNORM.DIST($D14,Parameter!$E$6,Parameter!$E$7,TRUE),0)</f>
        <v>0.13122130895098305</v>
      </c>
      <c r="S14" s="16">
        <v>6.5644131734177824E-2</v>
      </c>
      <c r="T14" s="16">
        <v>7.4211772766823447E-2</v>
      </c>
      <c r="U14" s="16">
        <v>0.15794258557662455</v>
      </c>
      <c r="V14" s="16">
        <v>0.19291847062516887</v>
      </c>
      <c r="W14" s="16">
        <v>9.3957028059243441E-2</v>
      </c>
      <c r="X14" s="16">
        <v>0.10393722352427159</v>
      </c>
      <c r="Y14" s="16">
        <v>6.556852537837754E-2</v>
      </c>
      <c r="Z14" s="16">
        <v>0.1013602557619232</v>
      </c>
      <c r="AA14" s="16">
        <v>0.15956976840033321</v>
      </c>
      <c r="AB14" s="16">
        <v>0.17318370463802624</v>
      </c>
      <c r="AC14" s="16">
        <v>0.11697094329239432</v>
      </c>
      <c r="AD14" s="16">
        <v>0.11603588424727029</v>
      </c>
      <c r="AE14" s="16">
        <v>0.12190171364695201</v>
      </c>
      <c r="AF14" s="16">
        <v>0.14801618764031621</v>
      </c>
      <c r="AG14" s="16">
        <v>0.15410417751839611</v>
      </c>
      <c r="AH14" s="16">
        <v>0.13264236418193143</v>
      </c>
      <c r="AI14" s="16">
        <v>7.1483691311662323E-2</v>
      </c>
      <c r="AJ14" s="16">
        <v>7.819249460948241E-2</v>
      </c>
      <c r="AK14" s="16">
        <v>0.14030395408506036</v>
      </c>
      <c r="AL14" s="16">
        <v>0.10633448175138249</v>
      </c>
      <c r="AM14" s="16">
        <v>6.4588014484902478E-2</v>
      </c>
      <c r="AN14" s="16">
        <v>0.1938680940162163</v>
      </c>
      <c r="AO14" s="16">
        <v>8.8656611974651911E-2</v>
      </c>
      <c r="AP14" s="16">
        <v>0.12265196945643375</v>
      </c>
      <c r="AQ14" s="16">
        <v>0.10807731202900928</v>
      </c>
      <c r="AR14" s="16">
        <v>0.12043168776556756</v>
      </c>
      <c r="AS14" s="16">
        <v>0.12357895232780303</v>
      </c>
      <c r="AT14" s="16">
        <v>0.15537584304290053</v>
      </c>
      <c r="AU14" s="16">
        <v>0.19177874970581243</v>
      </c>
      <c r="AV14" s="16">
        <v>0.14597898800133258</v>
      </c>
      <c r="AW14" s="16">
        <v>0.12812869709806263</v>
      </c>
      <c r="AX14" s="16">
        <v>7.4749593966130901E-2</v>
      </c>
      <c r="AY14" s="16">
        <v>0.13645176290514871</v>
      </c>
      <c r="AZ14" s="16">
        <v>0.11198461609900523</v>
      </c>
      <c r="BA14" s="16">
        <v>0.17875257654784993</v>
      </c>
      <c r="BB14" s="16">
        <v>0.10594566984994425</v>
      </c>
      <c r="BC14" s="16">
        <v>0.16976731675124701</v>
      </c>
      <c r="BD14" s="16">
        <v>8.8788925826215559E-2</v>
      </c>
      <c r="BE14" s="16">
        <v>0.14632765636577927</v>
      </c>
      <c r="BF14" s="16">
        <v>7.0304482960623416E-2</v>
      </c>
      <c r="BG14" s="16">
        <v>0.17243188766434547</v>
      </c>
      <c r="BH14" s="16">
        <v>0.13583423687803164</v>
      </c>
      <c r="BI14" s="16">
        <v>0.12149729405889964</v>
      </c>
      <c r="BJ14" s="16">
        <v>0.14697346668560707</v>
      </c>
      <c r="BK14" s="16">
        <v>0.11381042795992702</v>
      </c>
      <c r="BL14" s="16">
        <v>0.17637673412905008</v>
      </c>
      <c r="BM14" s="16">
        <v>0.14543042247588422</v>
      </c>
      <c r="BN14" s="16">
        <v>0.11514059761043272</v>
      </c>
      <c r="BO14" s="16">
        <v>0.12894890080378862</v>
      </c>
      <c r="BP14" s="16">
        <v>0.19240626137338923</v>
      </c>
      <c r="BQ14" s="16">
        <v>0.11757668748223382</v>
      </c>
      <c r="BR14" s="16">
        <v>0.10786838098199281</v>
      </c>
      <c r="BS14" s="16">
        <v>0.10891084388318928</v>
      </c>
      <c r="BT14" s="16">
        <v>0.19144171707921021</v>
      </c>
      <c r="BU14" s="16">
        <v>5.6372810407649077E-2</v>
      </c>
      <c r="BV14" s="16">
        <v>0.21783616813603468</v>
      </c>
      <c r="BW14" s="16">
        <v>0.13008013693409892</v>
      </c>
      <c r="BX14" s="16">
        <v>0.18537426708331606</v>
      </c>
      <c r="BY14" s="16">
        <v>0.16841814536488942</v>
      </c>
      <c r="BZ14" s="16">
        <v>0.11980735388501329</v>
      </c>
      <c r="CA14" s="16">
        <v>3.2440152757477803E-2</v>
      </c>
      <c r="CB14" s="16">
        <v>0.23668418455358831</v>
      </c>
      <c r="CC14" s="16">
        <v>0.1478864497163036</v>
      </c>
      <c r="CD14" s="16">
        <v>0.16106426507589144</v>
      </c>
      <c r="CE14" s="16">
        <v>0.13260286387920595</v>
      </c>
      <c r="CF14" s="16">
        <v>0.11546372077786626</v>
      </c>
      <c r="CG14" s="16">
        <v>0.13172405104045104</v>
      </c>
      <c r="CH14" s="16">
        <v>6.3087256736955255E-2</v>
      </c>
      <c r="CI14" s="16">
        <v>6.6869002015943924E-2</v>
      </c>
      <c r="CJ14" s="16">
        <v>0.17267043012681593</v>
      </c>
      <c r="CK14" s="16">
        <v>8.145009856883545E-2</v>
      </c>
      <c r="CL14" s="16">
        <v>0.11792463544723275</v>
      </c>
      <c r="CM14" s="16">
        <v>6.9570084232128515E-2</v>
      </c>
      <c r="CN14" s="16">
        <v>0.13706539083809111</v>
      </c>
      <c r="CO14" s="16">
        <v>0.17591631799985863</v>
      </c>
      <c r="CP14" s="16">
        <v>8.5857096488688778E-2</v>
      </c>
      <c r="CQ14" s="16">
        <v>0.12011589392171351</v>
      </c>
      <c r="CR14" s="16">
        <v>0.10181241207930636</v>
      </c>
      <c r="CS14" s="16">
        <v>5.6468372372206699E-2</v>
      </c>
      <c r="CT14" s="16">
        <v>0.19000090723070562</v>
      </c>
      <c r="CU14" s="16">
        <v>5.63713338973032E-2</v>
      </c>
      <c r="CV14" s="16">
        <v>0.13776991222637958</v>
      </c>
      <c r="CW14" s="16">
        <v>0.15248552652826719</v>
      </c>
      <c r="CX14" s="16">
        <v>7.2102163342970593E-2</v>
      </c>
      <c r="CY14" s="16">
        <v>0.19852486107370693</v>
      </c>
      <c r="CZ14" s="16">
        <v>7.4436715776941886E-2</v>
      </c>
      <c r="DA14" s="16">
        <v>0.11599336792350257</v>
      </c>
      <c r="DB14" s="16">
        <v>0.19464777803079381</v>
      </c>
      <c r="DC14" s="16">
        <v>0.1237457841751497</v>
      </c>
      <c r="DD14" s="16">
        <v>0.149534479931686</v>
      </c>
      <c r="DE14" s="16">
        <v>0.13613584247971311</v>
      </c>
      <c r="DF14" s="16">
        <v>0.10010383398538458</v>
      </c>
      <c r="DG14" s="16">
        <v>0.15628157066603521</v>
      </c>
      <c r="DH14" s="16">
        <v>0.16726029543129606</v>
      </c>
      <c r="DI14" s="16">
        <v>0.10755026997674322</v>
      </c>
      <c r="DJ14" s="16">
        <v>9.8120026464129317E-2</v>
      </c>
      <c r="DK14" s="16">
        <v>9.403968265565521E-2</v>
      </c>
      <c r="DL14" s="16">
        <v>6.8232103954123491E-2</v>
      </c>
      <c r="DM14" s="16">
        <v>8.7506648121622566E-2</v>
      </c>
      <c r="DN14" s="16">
        <v>5.8996312917054206E-2</v>
      </c>
    </row>
    <row r="15" spans="3:119" x14ac:dyDescent="0.2">
      <c r="D15" s="13">
        <v>7</v>
      </c>
      <c r="E15" s="14">
        <f>1-IFERROR(_xlfn.LOGNORM.DIST(D15,Parameter!$G$6,Parameter!$G$7,TRUE),0)</f>
        <v>0.11575276275317958</v>
      </c>
      <c r="F15" s="15">
        <f t="shared" si="0"/>
        <v>0.18351674133370541</v>
      </c>
      <c r="G15" s="15">
        <f t="shared" si="1"/>
        <v>4.9287373230737411E-2</v>
      </c>
      <c r="R15" s="14">
        <f ca="1">1-IFERROR(_xlfn.LOGNORM.DIST($D15,Parameter!$E$6,Parameter!$E$7,TRUE),0)</f>
        <v>0.11967513602061919</v>
      </c>
      <c r="S15" s="16">
        <v>5.8878084086685267E-2</v>
      </c>
      <c r="T15" s="16">
        <v>6.616691553524745E-2</v>
      </c>
      <c r="U15" s="16">
        <v>0.14440599885343375</v>
      </c>
      <c r="V15" s="16">
        <v>0.1802822410293704</v>
      </c>
      <c r="W15" s="16">
        <v>8.5509382050732441E-2</v>
      </c>
      <c r="X15" s="16">
        <v>9.3034334749228176E-2</v>
      </c>
      <c r="Y15" s="16">
        <v>5.8033066468169525E-2</v>
      </c>
      <c r="Z15" s="16">
        <v>9.3019200498618781E-2</v>
      </c>
      <c r="AA15" s="16">
        <v>0.14822915658841895</v>
      </c>
      <c r="AB15" s="16">
        <v>0.15904691293871243</v>
      </c>
      <c r="AC15" s="16">
        <v>0.1066058178775432</v>
      </c>
      <c r="AD15" s="16">
        <v>0.10583102732683281</v>
      </c>
      <c r="AE15" s="16">
        <v>0.11150872850941185</v>
      </c>
      <c r="AF15" s="16">
        <v>0.13633875550032126</v>
      </c>
      <c r="AG15" s="16">
        <v>0.13853172101925115</v>
      </c>
      <c r="AH15" s="16">
        <v>0.12290042964215675</v>
      </c>
      <c r="AI15" s="16">
        <v>6.3892894823203927E-2</v>
      </c>
      <c r="AJ15" s="16">
        <v>6.9456781327051464E-2</v>
      </c>
      <c r="AK15" s="16">
        <v>0.13077404571806828</v>
      </c>
      <c r="AL15" s="16">
        <v>9.7158860511919021E-2</v>
      </c>
      <c r="AM15" s="16">
        <v>5.6101562038988417E-2</v>
      </c>
      <c r="AN15" s="16">
        <v>0.18139266754776973</v>
      </c>
      <c r="AO15" s="16">
        <v>7.9864151687193963E-2</v>
      </c>
      <c r="AP15" s="16">
        <v>0.11358686742984536</v>
      </c>
      <c r="AQ15" s="16">
        <v>9.959988903629835E-2</v>
      </c>
      <c r="AR15" s="16">
        <v>0.10862391393826365</v>
      </c>
      <c r="AS15" s="16">
        <v>0.1130788733226562</v>
      </c>
      <c r="AT15" s="16">
        <v>0.14417787290690076</v>
      </c>
      <c r="AU15" s="16">
        <v>0.17931698133347251</v>
      </c>
      <c r="AV15" s="16">
        <v>0.13339672198283048</v>
      </c>
      <c r="AW15" s="16">
        <v>0.11902994159599534</v>
      </c>
      <c r="AX15" s="16">
        <v>6.6309644424056402E-2</v>
      </c>
      <c r="AY15" s="16">
        <v>0.12345300026357586</v>
      </c>
      <c r="AZ15" s="16">
        <v>0.10237689568327113</v>
      </c>
      <c r="BA15" s="16">
        <v>0.16376099624781415</v>
      </c>
      <c r="BB15" s="16">
        <v>9.5641752282566217E-2</v>
      </c>
      <c r="BC15" s="16">
        <v>0.15576412689586716</v>
      </c>
      <c r="BD15" s="16">
        <v>8.1296396993741027E-2</v>
      </c>
      <c r="BE15" s="16">
        <v>0.13494056549671407</v>
      </c>
      <c r="BF15" s="16">
        <v>6.1640161346455336E-2</v>
      </c>
      <c r="BG15" s="16">
        <v>0.1582394342672232</v>
      </c>
      <c r="BH15" s="16">
        <v>0.12555004929344882</v>
      </c>
      <c r="BI15" s="16">
        <v>0.11201463502645925</v>
      </c>
      <c r="BJ15" s="16">
        <v>0.13572681435491707</v>
      </c>
      <c r="BK15" s="16">
        <v>0.10467198385679299</v>
      </c>
      <c r="BL15" s="16">
        <v>0.16252167371488146</v>
      </c>
      <c r="BM15" s="16">
        <v>0.13426765322956347</v>
      </c>
      <c r="BN15" s="16">
        <v>0.10389724368031028</v>
      </c>
      <c r="BO15" s="16">
        <v>0.11870214839107329</v>
      </c>
      <c r="BP15" s="16">
        <v>0.18141061500469058</v>
      </c>
      <c r="BQ15" s="16">
        <v>0.10845194131702607</v>
      </c>
      <c r="BR15" s="16">
        <v>9.7392641601326768E-2</v>
      </c>
      <c r="BS15" s="16">
        <v>0.1003358090062455</v>
      </c>
      <c r="BT15" s="16">
        <v>0.17691744315156832</v>
      </c>
      <c r="BU15" s="16">
        <v>4.8774318329483535E-2</v>
      </c>
      <c r="BV15" s="16">
        <v>0.20584602662874485</v>
      </c>
      <c r="BW15" s="16">
        <v>0.11907520539963878</v>
      </c>
      <c r="BX15" s="16">
        <v>0.17119875970311083</v>
      </c>
      <c r="BY15" s="16">
        <v>0.15744999750808275</v>
      </c>
      <c r="BZ15" s="16">
        <v>0.10774197180186385</v>
      </c>
      <c r="CA15" s="16">
        <v>2.7017883781993657E-2</v>
      </c>
      <c r="CB15" s="16">
        <v>0.22215719889029817</v>
      </c>
      <c r="CC15" s="16">
        <v>0.13507791132791991</v>
      </c>
      <c r="CD15" s="16">
        <v>0.14955174726212306</v>
      </c>
      <c r="CE15" s="16">
        <v>0.1223615620459102</v>
      </c>
      <c r="CF15" s="16">
        <v>0.10558007910849554</v>
      </c>
      <c r="CG15" s="16">
        <v>0.12020971533652769</v>
      </c>
      <c r="CH15" s="16">
        <v>5.5378730517651631E-2</v>
      </c>
      <c r="CI15" s="16">
        <v>6.0520083629075905E-2</v>
      </c>
      <c r="CJ15" s="16">
        <v>0.16090777549176638</v>
      </c>
      <c r="CK15" s="16">
        <v>7.2425336376364391E-2</v>
      </c>
      <c r="CL15" s="16">
        <v>0.10676645516453087</v>
      </c>
      <c r="CM15" s="16">
        <v>6.2119599502799105E-2</v>
      </c>
      <c r="CN15" s="16">
        <v>0.12693969981375564</v>
      </c>
      <c r="CO15" s="16">
        <v>0.16365330506486309</v>
      </c>
      <c r="CP15" s="16">
        <v>7.6453857354755073E-2</v>
      </c>
      <c r="CQ15" s="16">
        <v>0.10981619470197024</v>
      </c>
      <c r="CR15" s="16">
        <v>9.2433479667583529E-2</v>
      </c>
      <c r="CS15" s="16">
        <v>4.956454422146872E-2</v>
      </c>
      <c r="CT15" s="16">
        <v>0.17341564480643901</v>
      </c>
      <c r="CU15" s="16">
        <v>4.9036599477218612E-2</v>
      </c>
      <c r="CV15" s="16">
        <v>0.12748134631108243</v>
      </c>
      <c r="CW15" s="16">
        <v>0.14127600112921634</v>
      </c>
      <c r="CX15" s="16">
        <v>6.5133045239573861E-2</v>
      </c>
      <c r="CY15" s="16">
        <v>0.18542228420281415</v>
      </c>
      <c r="CZ15" s="16">
        <v>6.5032073395143719E-2</v>
      </c>
      <c r="DA15" s="16">
        <v>0.1073799491989289</v>
      </c>
      <c r="DB15" s="16">
        <v>0.17855992409864707</v>
      </c>
      <c r="DC15" s="16">
        <v>0.11123102242044047</v>
      </c>
      <c r="DD15" s="16">
        <v>0.13513216618442891</v>
      </c>
      <c r="DE15" s="16">
        <v>0.12480580993262536</v>
      </c>
      <c r="DF15" s="16">
        <v>9.1396429200763629E-2</v>
      </c>
      <c r="DG15" s="16">
        <v>0.14571370239296333</v>
      </c>
      <c r="DH15" s="16">
        <v>0.15530065486055755</v>
      </c>
      <c r="DI15" s="16">
        <v>9.7628050726232818E-2</v>
      </c>
      <c r="DJ15" s="16">
        <v>8.8061066447537972E-2</v>
      </c>
      <c r="DK15" s="16">
        <v>8.5507489571750583E-2</v>
      </c>
      <c r="DL15" s="16">
        <v>6.1275686452133105E-2</v>
      </c>
      <c r="DM15" s="16">
        <v>7.8421464684319653E-2</v>
      </c>
      <c r="DN15" s="16">
        <v>5.1481456783423862E-2</v>
      </c>
    </row>
    <row r="16" spans="3:119" x14ac:dyDescent="0.2">
      <c r="D16" s="13">
        <v>8</v>
      </c>
      <c r="E16" s="14">
        <f>1-IFERROR(_xlfn.LOGNORM.DIST(D16,Parameter!$G$6,Parameter!$G$7,TRUE),0)</f>
        <v>0.10705045460265372</v>
      </c>
      <c r="F16" s="15">
        <f t="shared" si="0"/>
        <v>0.17342160635759948</v>
      </c>
      <c r="G16" s="15">
        <f t="shared" si="1"/>
        <v>4.3710488926710693E-2</v>
      </c>
      <c r="R16" s="14">
        <f ca="1">1-IFERROR(_xlfn.LOGNORM.DIST($D16,Parameter!$E$6,Parameter!$E$7,TRUE),0)</f>
        <v>0.11026862159133288</v>
      </c>
      <c r="S16" s="16">
        <v>5.3470575367843054E-2</v>
      </c>
      <c r="T16" s="16">
        <v>5.975926791265207E-2</v>
      </c>
      <c r="U16" s="16">
        <v>0.1333306227678881</v>
      </c>
      <c r="V16" s="16">
        <v>0.16976651176179236</v>
      </c>
      <c r="W16" s="16">
        <v>7.866289497772061E-2</v>
      </c>
      <c r="X16" s="16">
        <v>8.4293728998394823E-2</v>
      </c>
      <c r="Y16" s="16">
        <v>5.2071173071475019E-2</v>
      </c>
      <c r="Z16" s="16">
        <v>8.6213557280339304E-2</v>
      </c>
      <c r="AA16" s="16">
        <v>0.13885201449927909</v>
      </c>
      <c r="AB16" s="16">
        <v>0.14743008073287234</v>
      </c>
      <c r="AC16" s="16">
        <v>9.8177311868108852E-2</v>
      </c>
      <c r="AD16" s="16">
        <v>9.7529350706751172E-2</v>
      </c>
      <c r="AE16" s="16">
        <v>0.10303180856980609</v>
      </c>
      <c r="AF16" s="16">
        <v>0.12674615508417886</v>
      </c>
      <c r="AG16" s="16">
        <v>0.12593861582765897</v>
      </c>
      <c r="AH16" s="16">
        <v>0.11487654535864589</v>
      </c>
      <c r="AI16" s="16">
        <v>5.783771870723986E-2</v>
      </c>
      <c r="AJ16" s="16">
        <v>6.25147108040085E-2</v>
      </c>
      <c r="AK16" s="16">
        <v>0.12288850369040927</v>
      </c>
      <c r="AL16" s="16">
        <v>8.9691981864125858E-2</v>
      </c>
      <c r="AM16" s="16">
        <v>4.9483857535759013E-2</v>
      </c>
      <c r="AN16" s="16">
        <v>0.17100217288044972</v>
      </c>
      <c r="AO16" s="16">
        <v>7.279514014651467E-2</v>
      </c>
      <c r="AP16" s="16">
        <v>0.10612918512047687</v>
      </c>
      <c r="AQ16" s="16">
        <v>9.2658158181225914E-2</v>
      </c>
      <c r="AR16" s="16">
        <v>9.9088702067917311E-2</v>
      </c>
      <c r="AS16" s="16">
        <v>0.10451135086514185</v>
      </c>
      <c r="AT16" s="16">
        <v>0.13492834810892873</v>
      </c>
      <c r="AU16" s="16">
        <v>0.16894380454379543</v>
      </c>
      <c r="AV16" s="16">
        <v>0.12311766472127672</v>
      </c>
      <c r="AW16" s="16">
        <v>0.11152518200264894</v>
      </c>
      <c r="AX16" s="16">
        <v>5.9612351038574207E-2</v>
      </c>
      <c r="AY16" s="16">
        <v>0.11291551605736627</v>
      </c>
      <c r="AZ16" s="16">
        <v>9.4551118764794939E-2</v>
      </c>
      <c r="BA16" s="16">
        <v>0.15145452562599737</v>
      </c>
      <c r="BB16" s="16">
        <v>8.7328884055127731E-2</v>
      </c>
      <c r="BC16" s="16">
        <v>0.14426767777397198</v>
      </c>
      <c r="BD16" s="16">
        <v>7.5200429340663622E-2</v>
      </c>
      <c r="BE16" s="16">
        <v>0.12558059237579466</v>
      </c>
      <c r="BF16" s="16">
        <v>5.482954306083021E-2</v>
      </c>
      <c r="BG16" s="16">
        <v>0.1465832336029238</v>
      </c>
      <c r="BH16" s="16">
        <v>0.11709132424089697</v>
      </c>
      <c r="BI16" s="16">
        <v>0.10423829069653401</v>
      </c>
      <c r="BJ16" s="16">
        <v>0.12647308844066618</v>
      </c>
      <c r="BK16" s="16">
        <v>9.7195745637182029E-2</v>
      </c>
      <c r="BL16" s="16">
        <v>0.15110859122520182</v>
      </c>
      <c r="BM16" s="16">
        <v>0.12508572898221515</v>
      </c>
      <c r="BN16" s="16">
        <v>9.482022077775909E-2</v>
      </c>
      <c r="BO16" s="16">
        <v>0.11030256313466125</v>
      </c>
      <c r="BP16" s="16">
        <v>0.17221062957125244</v>
      </c>
      <c r="BQ16" s="16">
        <v>0.10096918527954257</v>
      </c>
      <c r="BR16" s="16">
        <v>8.8938448853794427E-2</v>
      </c>
      <c r="BS16" s="16">
        <v>9.3315219215293066E-2</v>
      </c>
      <c r="BT16" s="16">
        <v>0.1649149601285903</v>
      </c>
      <c r="BU16" s="16">
        <v>4.2874788160113919E-2</v>
      </c>
      <c r="BV16" s="16">
        <v>0.19578325370013416</v>
      </c>
      <c r="BW16" s="16">
        <v>0.11008774937069077</v>
      </c>
      <c r="BX16" s="16">
        <v>0.1594955651959501</v>
      </c>
      <c r="BY16" s="16">
        <v>0.14833716696549937</v>
      </c>
      <c r="BZ16" s="16">
        <v>9.8019614315516534E-2</v>
      </c>
      <c r="CA16" s="16">
        <v>2.295313587351655E-2</v>
      </c>
      <c r="CB16" s="16">
        <v>0.20999541683582279</v>
      </c>
      <c r="CC16" s="16">
        <v>0.1246152893026905</v>
      </c>
      <c r="CD16" s="16">
        <v>0.14003402398599774</v>
      </c>
      <c r="CE16" s="16">
        <v>0.11394985760747545</v>
      </c>
      <c r="CF16" s="16">
        <v>9.7525657813799294E-2</v>
      </c>
      <c r="CG16" s="16">
        <v>0.11082459836476111</v>
      </c>
      <c r="CH16" s="16">
        <v>4.9320289929316696E-2</v>
      </c>
      <c r="CI16" s="16">
        <v>5.5410540962011368E-2</v>
      </c>
      <c r="CJ16" s="16">
        <v>0.15115161991429249</v>
      </c>
      <c r="CK16" s="16">
        <v>6.5245028299353081E-2</v>
      </c>
      <c r="CL16" s="16">
        <v>9.7734218972387099E-2</v>
      </c>
      <c r="CM16" s="16">
        <v>5.6182316665432719E-2</v>
      </c>
      <c r="CN16" s="16">
        <v>0.11859929817601067</v>
      </c>
      <c r="CO16" s="16">
        <v>0.15349051543787651</v>
      </c>
      <c r="CP16" s="16">
        <v>6.8960282027520581E-2</v>
      </c>
      <c r="CQ16" s="16">
        <v>0.10141993107358471</v>
      </c>
      <c r="CR16" s="16">
        <v>8.4839383222846121E-2</v>
      </c>
      <c r="CS16" s="16">
        <v>4.4144282041192473E-2</v>
      </c>
      <c r="CT16" s="16">
        <v>0.15981817819485766</v>
      </c>
      <c r="CU16" s="16">
        <v>4.3318009442179561E-2</v>
      </c>
      <c r="CV16" s="16">
        <v>0.11901125330764295</v>
      </c>
      <c r="CW16" s="16">
        <v>0.13202859759811303</v>
      </c>
      <c r="CX16" s="16">
        <v>5.9528958774741181E-2</v>
      </c>
      <c r="CY16" s="16">
        <v>0.17451725202143731</v>
      </c>
      <c r="CZ16" s="16">
        <v>5.7654906580784426E-2</v>
      </c>
      <c r="DA16" s="16">
        <v>0.10029963830780142</v>
      </c>
      <c r="DB16" s="16">
        <v>0.16532220987896162</v>
      </c>
      <c r="DC16" s="16">
        <v>0.10114548223065023</v>
      </c>
      <c r="DD16" s="16">
        <v>0.12344989234684689</v>
      </c>
      <c r="DE16" s="16">
        <v>0.11553809751927857</v>
      </c>
      <c r="DF16" s="16">
        <v>8.4318720910908196E-2</v>
      </c>
      <c r="DG16" s="16">
        <v>0.13695666743654167</v>
      </c>
      <c r="DH16" s="16">
        <v>0.14540844898418293</v>
      </c>
      <c r="DI16" s="16">
        <v>8.9590151048162148E-2</v>
      </c>
      <c r="DJ16" s="16">
        <v>7.9986968797725488E-2</v>
      </c>
      <c r="DK16" s="16">
        <v>7.8596932755628512E-2</v>
      </c>
      <c r="DL16" s="16">
        <v>5.5709011984625079E-2</v>
      </c>
      <c r="DM16" s="16">
        <v>7.1145759742423209E-2</v>
      </c>
      <c r="DN16" s="16">
        <v>4.5605738590258849E-2</v>
      </c>
    </row>
    <row r="17" spans="4:118" x14ac:dyDescent="0.2">
      <c r="D17" s="13">
        <v>9</v>
      </c>
      <c r="E17" s="14">
        <f>1-IFERROR(_xlfn.LOGNORM.DIST(D17,Parameter!$G$6,Parameter!$G$7,TRUE),0)</f>
        <v>9.9774930832371655E-2</v>
      </c>
      <c r="F17" s="15">
        <f t="shared" si="0"/>
        <v>0.16481802904017867</v>
      </c>
      <c r="G17" s="15">
        <f t="shared" si="1"/>
        <v>3.9225077536799421E-2</v>
      </c>
      <c r="R17" s="14">
        <f ca="1">1-IFERROR(_xlfn.LOGNORM.DIST($D17,Parameter!$E$6,Parameter!$E$7,TRUE),0)</f>
        <v>0.10242207165321271</v>
      </c>
      <c r="S17" s="16">
        <v>4.9034489618765886E-2</v>
      </c>
      <c r="T17" s="16">
        <v>5.4520347921581225E-2</v>
      </c>
      <c r="U17" s="16">
        <v>0.12405874039100906</v>
      </c>
      <c r="V17" s="16">
        <v>0.16082447265316258</v>
      </c>
      <c r="W17" s="16">
        <v>7.2976021722827134E-2</v>
      </c>
      <c r="X17" s="16">
        <v>7.7108651619616664E-2</v>
      </c>
      <c r="Y17" s="16">
        <v>4.7225958943112656E-2</v>
      </c>
      <c r="Z17" s="16">
        <v>8.0525881280490541E-2</v>
      </c>
      <c r="AA17" s="16">
        <v>0.13092314955304851</v>
      </c>
      <c r="AB17" s="16">
        <v>0.13766707815125212</v>
      </c>
      <c r="AC17" s="16">
        <v>9.1157276523600062E-2</v>
      </c>
      <c r="AD17" s="16">
        <v>9.0612113247655501E-2</v>
      </c>
      <c r="AE17" s="16">
        <v>9.5951837233081427E-2</v>
      </c>
      <c r="AF17" s="16">
        <v>0.11868374984316576</v>
      </c>
      <c r="AG17" s="16">
        <v>0.11551272093978315</v>
      </c>
      <c r="AH17" s="16">
        <v>0.10811446023806415</v>
      </c>
      <c r="AI17" s="16">
        <v>5.2879669951294561E-2</v>
      </c>
      <c r="AJ17" s="16">
        <v>5.6851456105301956E-2</v>
      </c>
      <c r="AK17" s="16">
        <v>0.11621495187021402</v>
      </c>
      <c r="AL17" s="16">
        <v>8.3467424025202686E-2</v>
      </c>
      <c r="AM17" s="16">
        <v>4.4177917029416869E-2</v>
      </c>
      <c r="AN17" s="16">
        <v>0.16215979822866289</v>
      </c>
      <c r="AO17" s="16">
        <v>6.6966586863217326E-2</v>
      </c>
      <c r="AP17" s="16">
        <v>9.9850359375786124E-2</v>
      </c>
      <c r="AQ17" s="16">
        <v>8.6837960062559949E-2</v>
      </c>
      <c r="AR17" s="16">
        <v>9.1199152629674596E-2</v>
      </c>
      <c r="AS17" s="16">
        <v>9.7353347763435183E-2</v>
      </c>
      <c r="AT17" s="16">
        <v>0.12711466507355529</v>
      </c>
      <c r="AU17" s="16">
        <v>0.16012074095138495</v>
      </c>
      <c r="AV17" s="16">
        <v>0.11452295267737056</v>
      </c>
      <c r="AW17" s="16">
        <v>0.10519190582213223</v>
      </c>
      <c r="AX17" s="16">
        <v>5.4155729855730361E-2</v>
      </c>
      <c r="AY17" s="16">
        <v>0.1041676433060108</v>
      </c>
      <c r="AZ17" s="16">
        <v>8.8022288698753059E-2</v>
      </c>
      <c r="BA17" s="16">
        <v>0.14112324748301253</v>
      </c>
      <c r="BB17" s="16">
        <v>8.045488586477112E-2</v>
      </c>
      <c r="BC17" s="16">
        <v>0.13461378487571141</v>
      </c>
      <c r="BD17" s="16">
        <v>7.0118336423279803E-2</v>
      </c>
      <c r="BE17" s="16">
        <v>0.11770885735375303</v>
      </c>
      <c r="BF17" s="16">
        <v>4.9328835818198913E-2</v>
      </c>
      <c r="BG17" s="16">
        <v>0.13679213636475218</v>
      </c>
      <c r="BH17" s="16">
        <v>0.1099723280428524</v>
      </c>
      <c r="BI17" s="16">
        <v>9.7710500772551612E-2</v>
      </c>
      <c r="BJ17" s="16">
        <v>0.11868349673384504</v>
      </c>
      <c r="BK17" s="16">
        <v>9.0933143117911674E-2</v>
      </c>
      <c r="BL17" s="16">
        <v>0.14149498673353067</v>
      </c>
      <c r="BM17" s="16">
        <v>0.11735861717235296</v>
      </c>
      <c r="BN17" s="16">
        <v>8.7310845105255441E-2</v>
      </c>
      <c r="BO17" s="16">
        <v>0.1032549449287582</v>
      </c>
      <c r="BP17" s="16">
        <v>0.1643474058732568</v>
      </c>
      <c r="BQ17" s="16">
        <v>9.4687586173069049E-2</v>
      </c>
      <c r="BR17" s="16">
        <v>8.1945750601003065E-2</v>
      </c>
      <c r="BS17" s="16">
        <v>8.7429799037656242E-2</v>
      </c>
      <c r="BT17" s="16">
        <v>0.15477650111902164</v>
      </c>
      <c r="BU17" s="16">
        <v>3.8162556854811291E-2</v>
      </c>
      <c r="BV17" s="16">
        <v>0.18715985406151514</v>
      </c>
      <c r="BW17" s="16">
        <v>0.10257338708384345</v>
      </c>
      <c r="BX17" s="16">
        <v>0.14961791442372718</v>
      </c>
      <c r="BY17" s="16">
        <v>0.14059772297326867</v>
      </c>
      <c r="BZ17" s="16">
        <v>8.9991436587981921E-2</v>
      </c>
      <c r="CA17" s="16">
        <v>1.980765972284726E-2</v>
      </c>
      <c r="CB17" s="16">
        <v>0.19960002159513279</v>
      </c>
      <c r="CC17" s="16">
        <v>0.11586840394442699</v>
      </c>
      <c r="CD17" s="16">
        <v>0.13198768349623202</v>
      </c>
      <c r="CE17" s="16">
        <v>0.10687937331730546</v>
      </c>
      <c r="CF17" s="16">
        <v>9.0803398428569548E-2</v>
      </c>
      <c r="CG17" s="16">
        <v>0.10299239102371205</v>
      </c>
      <c r="CH17" s="16">
        <v>4.4426684465172728E-2</v>
      </c>
      <c r="CI17" s="16">
        <v>5.1191974780832261E-2</v>
      </c>
      <c r="CJ17" s="16">
        <v>0.14287960036325109</v>
      </c>
      <c r="CK17" s="16">
        <v>5.938136835060781E-2</v>
      </c>
      <c r="CL17" s="16">
        <v>9.0243553283617217E-2</v>
      </c>
      <c r="CM17" s="16">
        <v>5.132512682975221E-2</v>
      </c>
      <c r="CN17" s="16">
        <v>0.11157050441459093</v>
      </c>
      <c r="CO17" s="16">
        <v>0.14488076617036461</v>
      </c>
      <c r="CP17" s="16">
        <v>6.2832147882897149E-2</v>
      </c>
      <c r="CQ17" s="16">
        <v>9.4410701941020747E-2</v>
      </c>
      <c r="CR17" s="16">
        <v>7.8537904131926739E-2</v>
      </c>
      <c r="CS17" s="16">
        <v>3.9769596313409594E-2</v>
      </c>
      <c r="CT17" s="16">
        <v>0.14841959051953668</v>
      </c>
      <c r="CU17" s="16">
        <v>3.8732417691294985E-2</v>
      </c>
      <c r="CV17" s="16">
        <v>0.11187674480172827</v>
      </c>
      <c r="CW17" s="16">
        <v>0.12422567348708058</v>
      </c>
      <c r="CX17" s="16">
        <v>5.490602166272196E-2</v>
      </c>
      <c r="CY17" s="16">
        <v>0.16524383095310802</v>
      </c>
      <c r="CZ17" s="16">
        <v>5.1709036157740917E-2</v>
      </c>
      <c r="DA17" s="16">
        <v>9.4342579300653151E-2</v>
      </c>
      <c r="DB17" s="16">
        <v>0.15418706881450173</v>
      </c>
      <c r="DC17" s="16">
        <v>9.2817290689978127E-2</v>
      </c>
      <c r="DD17" s="16">
        <v>0.11374877987248566</v>
      </c>
      <c r="DE17" s="16">
        <v>0.10777852732285942</v>
      </c>
      <c r="DF17" s="16">
        <v>7.8424333309100369E-2</v>
      </c>
      <c r="DG17" s="16">
        <v>0.12953685877972765</v>
      </c>
      <c r="DH17" s="16">
        <v>0.13704232515290926</v>
      </c>
      <c r="DI17" s="16">
        <v>8.2918051592395958E-2</v>
      </c>
      <c r="DJ17" s="16">
        <v>7.3341142686028316E-2</v>
      </c>
      <c r="DK17" s="16">
        <v>7.286028688316204E-2</v>
      </c>
      <c r="DL17" s="16">
        <v>5.1137262353988189E-2</v>
      </c>
      <c r="DM17" s="16">
        <v>6.5168628879106683E-2</v>
      </c>
      <c r="DN17" s="16">
        <v>4.0882023902528486E-2</v>
      </c>
    </row>
    <row r="18" spans="4:118" x14ac:dyDescent="0.2">
      <c r="D18" s="13">
        <v>10</v>
      </c>
      <c r="E18" s="14">
        <f>1-IFERROR(_xlfn.LOGNORM.DIST(D18,Parameter!$G$6,Parameter!$G$7,TRUE),0)</f>
        <v>9.3578816465060277E-2</v>
      </c>
      <c r="F18" s="15">
        <f t="shared" si="0"/>
        <v>0.15737618607305801</v>
      </c>
      <c r="G18" s="15">
        <f t="shared" si="1"/>
        <v>3.5537473869118957E-2</v>
      </c>
      <c r="R18" s="14">
        <f ca="1">1-IFERROR(_xlfn.LOGNORM.DIST($D18,Parameter!$E$6,Parameter!$E$7,TRUE),0)</f>
        <v>9.5754243874667466E-2</v>
      </c>
      <c r="S18" s="16">
        <v>4.5320057568357108E-2</v>
      </c>
      <c r="T18" s="16">
        <v>5.0148052804194654E-2</v>
      </c>
      <c r="U18" s="16">
        <v>0.11615544819199097</v>
      </c>
      <c r="V18" s="16">
        <v>0.15309099623747513</v>
      </c>
      <c r="W18" s="16">
        <v>6.816051368419207E-2</v>
      </c>
      <c r="X18" s="16">
        <v>7.1084552585603089E-2</v>
      </c>
      <c r="Y18" s="16">
        <v>4.3204348874872012E-2</v>
      </c>
      <c r="Z18" s="16">
        <v>7.5682450999363882E-2</v>
      </c>
      <c r="AA18" s="16">
        <v>0.12410052707248731</v>
      </c>
      <c r="AB18" s="16">
        <v>0.1293158576313882</v>
      </c>
      <c r="AC18" s="16">
        <v>8.5199324522241549E-2</v>
      </c>
      <c r="AD18" s="16">
        <v>8.4739072873950438E-2</v>
      </c>
      <c r="AE18" s="16">
        <v>8.9927656295184843E-2</v>
      </c>
      <c r="AF18" s="16">
        <v>0.11178474629332091</v>
      </c>
      <c r="AG18" s="16">
        <v>0.10671933695875735</v>
      </c>
      <c r="AH18" s="16">
        <v>0.10231261375352574</v>
      </c>
      <c r="AI18" s="16">
        <v>4.8735874428569415E-2</v>
      </c>
      <c r="AJ18" s="16">
        <v>5.2135207162144148E-2</v>
      </c>
      <c r="AK18" s="16">
        <v>0.11046678849427971</v>
      </c>
      <c r="AL18" s="16">
        <v>7.8179586985213323E-2</v>
      </c>
      <c r="AM18" s="16">
        <v>3.9829409061536314E-2</v>
      </c>
      <c r="AN18" s="16">
        <v>0.15450696631095706</v>
      </c>
      <c r="AO18" s="16">
        <v>6.2064742252402105E-2</v>
      </c>
      <c r="AP18" s="16">
        <v>9.4467569032787968E-2</v>
      </c>
      <c r="AQ18" s="16">
        <v>8.1867023037756836E-2</v>
      </c>
      <c r="AR18" s="16">
        <v>8.4545171250342555E-2</v>
      </c>
      <c r="AS18" s="16">
        <v>9.126099710908997E-2</v>
      </c>
      <c r="AT18" s="16">
        <v>0.12039679988196395</v>
      </c>
      <c r="AU18" s="16">
        <v>0.15248824186868426</v>
      </c>
      <c r="AV18" s="16">
        <v>0.10720429551957811</v>
      </c>
      <c r="AW18" s="16">
        <v>9.975078577447094E-2</v>
      </c>
      <c r="AX18" s="16">
        <v>4.9616702396162338E-2</v>
      </c>
      <c r="AY18" s="16">
        <v>9.676818249341812E-2</v>
      </c>
      <c r="AZ18" s="16">
        <v>8.2472268624243172E-2</v>
      </c>
      <c r="BA18" s="16">
        <v>0.13229579952302772</v>
      </c>
      <c r="BB18" s="16">
        <v>7.4659510492520176E-2</v>
      </c>
      <c r="BC18" s="16">
        <v>0.12636203007838254</v>
      </c>
      <c r="BD18" s="16">
        <v>6.5799924683835664E-2</v>
      </c>
      <c r="BE18" s="16">
        <v>0.11096896952216517</v>
      </c>
      <c r="BF18" s="16">
        <v>4.4790145160974459E-2</v>
      </c>
      <c r="BG18" s="16">
        <v>0.12842088406571717</v>
      </c>
      <c r="BH18" s="16">
        <v>0.10387211075201863</v>
      </c>
      <c r="BI18" s="16">
        <v>9.212968029266011E-2</v>
      </c>
      <c r="BJ18" s="16">
        <v>0.11200815199640091</v>
      </c>
      <c r="BK18" s="16">
        <v>8.558923696979126E-2</v>
      </c>
      <c r="BL18" s="16">
        <v>0.13325399635217983</v>
      </c>
      <c r="BM18" s="16">
        <v>0.11073836126776004</v>
      </c>
      <c r="BN18" s="16">
        <v>8.0977853197600869E-2</v>
      </c>
      <c r="BO18" s="16">
        <v>9.7232834065362095E-2</v>
      </c>
      <c r="BP18" s="16">
        <v>0.15751398609534828</v>
      </c>
      <c r="BQ18" s="16">
        <v>8.9316833627881231E-2</v>
      </c>
      <c r="BR18" s="16">
        <v>7.6049001828500273E-2</v>
      </c>
      <c r="BS18" s="16">
        <v>8.2403911181263445E-2</v>
      </c>
      <c r="BT18" s="16">
        <v>0.14606377373693336</v>
      </c>
      <c r="BU18" s="16">
        <v>3.4313556606825779E-2</v>
      </c>
      <c r="BV18" s="16">
        <v>0.17964837499233366</v>
      </c>
      <c r="BW18" s="16">
        <v>9.6173781540563774E-2</v>
      </c>
      <c r="BX18" s="16">
        <v>0.14113530727972479</v>
      </c>
      <c r="BY18" s="16">
        <v>0.13391082912251306</v>
      </c>
      <c r="BZ18" s="16">
        <v>8.3233418166430151E-2</v>
      </c>
      <c r="CA18" s="16">
        <v>1.7311657066923281E-2</v>
      </c>
      <c r="CB18" s="16">
        <v>0.19056862581701761</v>
      </c>
      <c r="CC18" s="16">
        <v>0.10842140551583412</v>
      </c>
      <c r="CD18" s="16">
        <v>0.1250652011661334</v>
      </c>
      <c r="CE18" s="16">
        <v>0.10082772774681137</v>
      </c>
      <c r="CF18" s="16">
        <v>8.5087035642896658E-2</v>
      </c>
      <c r="CG18" s="16">
        <v>9.6333974009896184E-2</v>
      </c>
      <c r="CH18" s="16">
        <v>4.0387963730224241E-2</v>
      </c>
      <c r="CI18" s="16">
        <v>4.7638635622483383E-2</v>
      </c>
      <c r="CJ18" s="16">
        <v>0.13574404223695435</v>
      </c>
      <c r="CK18" s="16">
        <v>5.4493768543417032E-2</v>
      </c>
      <c r="CL18" s="16">
        <v>8.3911932787689936E-2</v>
      </c>
      <c r="CM18" s="16">
        <v>4.726887526654E-2</v>
      </c>
      <c r="CN18" s="16">
        <v>0.10554008872838816</v>
      </c>
      <c r="CO18" s="16">
        <v>0.13745984203045258</v>
      </c>
      <c r="CP18" s="16">
        <v>5.7717703028944189E-2</v>
      </c>
      <c r="CQ18" s="16">
        <v>8.8449295037596576E-2</v>
      </c>
      <c r="CR18" s="16">
        <v>7.3207536833670428E-2</v>
      </c>
      <c r="CS18" s="16">
        <v>3.6161277030055894E-2</v>
      </c>
      <c r="CT18" s="16">
        <v>0.13869524191674154</v>
      </c>
      <c r="CU18" s="16">
        <v>3.4973080533033163E-2</v>
      </c>
      <c r="CV18" s="16">
        <v>0.10575855458446592</v>
      </c>
      <c r="CW18" s="16">
        <v>0.11752414308017056</v>
      </c>
      <c r="CX18" s="16">
        <v>5.1015433712584879E-2</v>
      </c>
      <c r="CY18" s="16">
        <v>0.1572238807852635</v>
      </c>
      <c r="CZ18" s="16">
        <v>4.6813137056552212E-2</v>
      </c>
      <c r="DA18" s="16">
        <v>8.9238581978521414E-2</v>
      </c>
      <c r="DB18" s="16">
        <v>0.14465660868587005</v>
      </c>
      <c r="DC18" s="16">
        <v>8.5807065928004578E-2</v>
      </c>
      <c r="DD18" s="16">
        <v>0.10554231022992078</v>
      </c>
      <c r="DE18" s="16">
        <v>0.1011617837792137</v>
      </c>
      <c r="DF18" s="16">
        <v>7.3421194389355127E-2</v>
      </c>
      <c r="DG18" s="16">
        <v>0.12313968017844945</v>
      </c>
      <c r="DH18" s="16">
        <v>0.12984253811328461</v>
      </c>
      <c r="DI18" s="16">
        <v>7.7272720582318599E-2</v>
      </c>
      <c r="DJ18" s="16">
        <v>6.776179347311484E-2</v>
      </c>
      <c r="DK18" s="16">
        <v>6.8005364781419941E-2</v>
      </c>
      <c r="DL18" s="16">
        <v>4.7305410979380014E-2</v>
      </c>
      <c r="DM18" s="16">
        <v>6.0158927128574069E-2</v>
      </c>
      <c r="DN18" s="16">
        <v>3.7000346345075208E-2</v>
      </c>
    </row>
    <row r="19" spans="4:118" x14ac:dyDescent="0.2">
      <c r="D19" s="13">
        <v>11</v>
      </c>
      <c r="E19" s="14">
        <f>1-IFERROR(_xlfn.LOGNORM.DIST(D19,Parameter!$G$6,Parameter!$G$7,TRUE),0)</f>
        <v>8.8222763690623762E-2</v>
      </c>
      <c r="F19" s="15">
        <f t="shared" si="0"/>
        <v>0.15087694837499038</v>
      </c>
      <c r="G19" s="15">
        <f t="shared" si="1"/>
        <v>3.2451485765377215E-2</v>
      </c>
      <c r="R19" s="14">
        <f ca="1">1-IFERROR(_xlfn.LOGNORM.DIST($D19,Parameter!$E$6,Parameter!$E$7,TRUE),0)</f>
        <v>9.00025996784799E-2</v>
      </c>
      <c r="S19" s="16">
        <v>4.2158143403702608E-2</v>
      </c>
      <c r="T19" s="16">
        <v>4.6437980205130014E-2</v>
      </c>
      <c r="U19" s="16">
        <v>0.10931986490934409</v>
      </c>
      <c r="V19" s="16">
        <v>0.14631108692998163</v>
      </c>
      <c r="W19" s="16">
        <v>6.4019105242570151E-2</v>
      </c>
      <c r="X19" s="16">
        <v>6.5952577747141916E-2</v>
      </c>
      <c r="Y19" s="16">
        <v>3.9809001601280536E-2</v>
      </c>
      <c r="Z19" s="16">
        <v>7.1495165830485652E-2</v>
      </c>
      <c r="AA19" s="16">
        <v>0.11814650334831911</v>
      </c>
      <c r="AB19" s="16">
        <v>0.1220696021848684</v>
      </c>
      <c r="AC19" s="16">
        <v>8.0065472042891939E-2</v>
      </c>
      <c r="AD19" s="16">
        <v>7.9676443341669456E-2</v>
      </c>
      <c r="AE19" s="16">
        <v>8.4724427051384055E-2</v>
      </c>
      <c r="AF19" s="16">
        <v>0.10579524074808622</v>
      </c>
      <c r="AG19" s="16">
        <v>9.9190282715734379E-2</v>
      </c>
      <c r="AH19" s="16">
        <v>9.7262287137118819E-2</v>
      </c>
      <c r="AI19" s="16">
        <v>4.5214846807438591E-2</v>
      </c>
      <c r="AJ19" s="16">
        <v>4.8141618759257487E-2</v>
      </c>
      <c r="AK19" s="16">
        <v>0.10544511142897084</v>
      </c>
      <c r="AL19" s="16">
        <v>7.3618649988828055E-2</v>
      </c>
      <c r="AM19" s="16">
        <v>3.6201684097753151E-2</v>
      </c>
      <c r="AN19" s="16">
        <v>0.14779316632647477</v>
      </c>
      <c r="AO19" s="16">
        <v>5.7875898081344856E-2</v>
      </c>
      <c r="AP19" s="16">
        <v>8.9785323592087574E-2</v>
      </c>
      <c r="AQ19" s="16">
        <v>7.7557796528050282E-2</v>
      </c>
      <c r="AR19" s="16">
        <v>7.8845791215246042E-2</v>
      </c>
      <c r="AS19" s="16">
        <v>8.5997515846127803E-2</v>
      </c>
      <c r="AT19" s="16">
        <v>0.11453868858622207</v>
      </c>
      <c r="AU19" s="16">
        <v>0.14579520947862035</v>
      </c>
      <c r="AV19" s="16">
        <v>0.10087975913554081</v>
      </c>
      <c r="AW19" s="16">
        <v>9.5008426811566293E-2</v>
      </c>
      <c r="AX19" s="16">
        <v>4.5777097959481594E-2</v>
      </c>
      <c r="AY19" s="16">
        <v>9.0413765084481512E-2</v>
      </c>
      <c r="AZ19" s="16">
        <v>7.7682414589039128E-2</v>
      </c>
      <c r="BA19" s="16">
        <v>0.12464492117694936</v>
      </c>
      <c r="BB19" s="16">
        <v>6.9696471551496941E-2</v>
      </c>
      <c r="BC19" s="16">
        <v>0.1192069393865306</v>
      </c>
      <c r="BD19" s="16">
        <v>6.2073702725054969E-2</v>
      </c>
      <c r="BE19" s="16">
        <v>0.10511419938413213</v>
      </c>
      <c r="BF19" s="16">
        <v>4.0979887577249463E-2</v>
      </c>
      <c r="BG19" s="16">
        <v>0.12116051427364671</v>
      </c>
      <c r="BH19" s="16">
        <v>9.8568618788717144E-2</v>
      </c>
      <c r="BI19" s="16">
        <v>8.7287708637098449E-2</v>
      </c>
      <c r="BJ19" s="16">
        <v>0.10620471140619148</v>
      </c>
      <c r="BK19" s="16">
        <v>8.0960858424139248E-2</v>
      </c>
      <c r="BL19" s="16">
        <v>0.1260889946709246</v>
      </c>
      <c r="BM19" s="16">
        <v>0.10498401946525293</v>
      </c>
      <c r="BN19" s="16">
        <v>7.5553381574233414E-2</v>
      </c>
      <c r="BO19" s="16">
        <v>9.201084372600965E-2</v>
      </c>
      <c r="BP19" s="16">
        <v>0.15149559286516912</v>
      </c>
      <c r="BQ19" s="16">
        <v>8.4656652644549579E-2</v>
      </c>
      <c r="BR19" s="16">
        <v>7.0998200952250734E-2</v>
      </c>
      <c r="BS19" s="16">
        <v>7.8047688647182034E-2</v>
      </c>
      <c r="BT19" s="16">
        <v>0.13847141441103183</v>
      </c>
      <c r="BU19" s="16">
        <v>3.1112186119157337E-2</v>
      </c>
      <c r="BV19" s="16">
        <v>0.173019065189018</v>
      </c>
      <c r="BW19" s="16">
        <v>9.0641930318674846E-2</v>
      </c>
      <c r="BX19" s="16">
        <v>0.13374808898918611</v>
      </c>
      <c r="BY19" s="16">
        <v>0.12805298162593326</v>
      </c>
      <c r="BZ19" s="16">
        <v>7.745535152038463E-2</v>
      </c>
      <c r="CA19" s="16">
        <v>1.5290241946526173E-2</v>
      </c>
      <c r="CB19" s="16">
        <v>0.18261865805391775</v>
      </c>
      <c r="CC19" s="16">
        <v>0.10198709483791968</v>
      </c>
      <c r="CD19" s="16">
        <v>0.11902510529475174</v>
      </c>
      <c r="CE19" s="16">
        <v>9.5572078446833686E-2</v>
      </c>
      <c r="CF19" s="16">
        <v>8.0152213069450862E-2</v>
      </c>
      <c r="CG19" s="16">
        <v>9.0588201804747914E-2</v>
      </c>
      <c r="CH19" s="16">
        <v>3.6996268529438048E-2</v>
      </c>
      <c r="CI19" s="16">
        <v>4.4597030202314425E-2</v>
      </c>
      <c r="CJ19" s="16">
        <v>0.12950283118584793</v>
      </c>
      <c r="CK19" s="16">
        <v>5.0351703837154815E-2</v>
      </c>
      <c r="CL19" s="16">
        <v>7.8477071971554402E-2</v>
      </c>
      <c r="CM19" s="16">
        <v>4.3824743472324124E-2</v>
      </c>
      <c r="CN19" s="16">
        <v>0.10029117523468034</v>
      </c>
      <c r="CO19" s="16">
        <v>0.13097412082032878</v>
      </c>
      <c r="CP19" s="16">
        <v>5.3378526392304337E-2</v>
      </c>
      <c r="CQ19" s="16">
        <v>8.3302310510835476E-2</v>
      </c>
      <c r="CR19" s="16">
        <v>6.8628188760425646E-2</v>
      </c>
      <c r="CS19" s="16">
        <v>3.3132381327365956E-2</v>
      </c>
      <c r="CT19" s="16">
        <v>0.13028050087468723</v>
      </c>
      <c r="CU19" s="16">
        <v>3.1835437399768352E-2</v>
      </c>
      <c r="CV19" s="16">
        <v>0.10043566744624466</v>
      </c>
      <c r="CW19" s="16">
        <v>0.11168599907407473</v>
      </c>
      <c r="CX19" s="16">
        <v>4.7688014975608373E-2</v>
      </c>
      <c r="CY19" s="16">
        <v>0.15019318341216126</v>
      </c>
      <c r="CZ19" s="16">
        <v>4.2711297107204893E-2</v>
      </c>
      <c r="DA19" s="16">
        <v>8.4801054730685999E-2</v>
      </c>
      <c r="DB19" s="16">
        <v>0.13638423896439877</v>
      </c>
      <c r="DC19" s="16">
        <v>7.9813921624682926E-2</v>
      </c>
      <c r="DD19" s="16">
        <v>9.8495319610273357E-2</v>
      </c>
      <c r="DE19" s="16">
        <v>9.5435728419966392E-2</v>
      </c>
      <c r="DF19" s="16">
        <v>6.9109004043807154E-2</v>
      </c>
      <c r="DG19" s="16">
        <v>0.1175464110394262</v>
      </c>
      <c r="DH19" s="16">
        <v>0.12355894626050579</v>
      </c>
      <c r="DI19" s="16">
        <v>7.2421873543715654E-2</v>
      </c>
      <c r="DJ19" s="16">
        <v>6.3002417298742119E-2</v>
      </c>
      <c r="DK19" s="16">
        <v>6.3832270471399721E-2</v>
      </c>
      <c r="DL19" s="16">
        <v>4.4040587974401801E-2</v>
      </c>
      <c r="DM19" s="16">
        <v>5.5891585900814111E-2</v>
      </c>
      <c r="DN19" s="16">
        <v>3.375357252208766E-2</v>
      </c>
    </row>
    <row r="20" spans="4:118" x14ac:dyDescent="0.2">
      <c r="D20" s="13">
        <v>12</v>
      </c>
      <c r="E20" s="14">
        <f>1-IFERROR(_xlfn.LOGNORM.DIST(D20,Parameter!$G$6,Parameter!$G$7,TRUE),0)</f>
        <v>8.3535679728618417E-2</v>
      </c>
      <c r="F20" s="15">
        <f t="shared" si="0"/>
        <v>0.14510285697123371</v>
      </c>
      <c r="G20" s="15">
        <f t="shared" si="1"/>
        <v>2.9830805067478105E-2</v>
      </c>
      <c r="R20" s="14">
        <f ca="1">1-IFERROR(_xlfn.LOGNORM.DIST($D20,Parameter!$E$6,Parameter!$E$7,TRUE),0)</f>
        <v>8.4979594719617246E-2</v>
      </c>
      <c r="S20" s="16">
        <v>3.9429721441173293E-2</v>
      </c>
      <c r="T20" s="16">
        <v>4.3246435819706885E-2</v>
      </c>
      <c r="U20" s="16">
        <v>0.10333618914260001</v>
      </c>
      <c r="V20" s="16">
        <v>0.14030019521177062</v>
      </c>
      <c r="W20" s="16">
        <v>6.04116322338073E-2</v>
      </c>
      <c r="X20" s="16">
        <v>6.1522558734123711E-2</v>
      </c>
      <c r="Y20" s="16">
        <v>3.6901801722188377E-2</v>
      </c>
      <c r="Z20" s="16">
        <v>6.7829851934452123E-2</v>
      </c>
      <c r="AA20" s="16">
        <v>0.11288988261113198</v>
      </c>
      <c r="AB20" s="16">
        <v>0.1157075993169675</v>
      </c>
      <c r="AC20" s="16">
        <v>7.5586052549585059E-2</v>
      </c>
      <c r="AD20" s="16">
        <v>7.525752971877675E-2</v>
      </c>
      <c r="AE20" s="16">
        <v>8.0174424584012471E-2</v>
      </c>
      <c r="AF20" s="16">
        <v>0.10053296939383227</v>
      </c>
      <c r="AG20" s="16">
        <v>9.2662790025202946E-2</v>
      </c>
      <c r="AH20" s="16">
        <v>9.2813629005532028E-2</v>
      </c>
      <c r="AI20" s="16">
        <v>4.2181899562147573E-2</v>
      </c>
      <c r="AJ20" s="16">
        <v>4.4713103724868364E-2</v>
      </c>
      <c r="AK20" s="16">
        <v>0.10100675208611953</v>
      </c>
      <c r="AL20" s="16">
        <v>6.9635089797583483E-2</v>
      </c>
      <c r="AM20" s="16">
        <v>3.3130429428696484E-2</v>
      </c>
      <c r="AN20" s="16">
        <v>0.14183702956644839</v>
      </c>
      <c r="AO20" s="16">
        <v>5.4248887938766477E-2</v>
      </c>
      <c r="AP20" s="16">
        <v>8.5663429382296319E-2</v>
      </c>
      <c r="AQ20" s="16">
        <v>7.3776203103505855E-2</v>
      </c>
      <c r="AR20" s="16">
        <v>7.3901285259232674E-2</v>
      </c>
      <c r="AS20" s="16">
        <v>8.1393739615322813E-2</v>
      </c>
      <c r="AT20" s="16">
        <v>0.10937039340445986</v>
      </c>
      <c r="AU20" s="16">
        <v>0.13985991186977464</v>
      </c>
      <c r="AV20" s="16">
        <v>9.5347459634774534E-2</v>
      </c>
      <c r="AW20" s="16">
        <v>9.0825924152878823E-2</v>
      </c>
      <c r="AX20" s="16">
        <v>4.248383682957535E-2</v>
      </c>
      <c r="AY20" s="16">
        <v>8.4888050440935614E-2</v>
      </c>
      <c r="AZ20" s="16">
        <v>7.3496781905473263E-2</v>
      </c>
      <c r="BA20" s="16">
        <v>0.1179351659149781</v>
      </c>
      <c r="BB20" s="16">
        <v>6.5390999434554731E-2</v>
      </c>
      <c r="BC20" s="16">
        <v>0.11292890563216362</v>
      </c>
      <c r="BD20" s="16">
        <v>5.8817622482005727E-2</v>
      </c>
      <c r="BE20" s="16">
        <v>9.996740688403627E-2</v>
      </c>
      <c r="BF20" s="16">
        <v>3.7735067549920509E-2</v>
      </c>
      <c r="BG20" s="16">
        <v>0.11478883024394559</v>
      </c>
      <c r="BH20" s="16">
        <v>9.3902496360264487E-2</v>
      </c>
      <c r="BI20" s="16">
        <v>8.3035570911143108E-2</v>
      </c>
      <c r="BJ20" s="16">
        <v>0.10109910227174512</v>
      </c>
      <c r="BK20" s="16">
        <v>7.6902775927793376E-2</v>
      </c>
      <c r="BL20" s="16">
        <v>0.11978635275121885</v>
      </c>
      <c r="BM20" s="16">
        <v>9.9922566263877854E-2</v>
      </c>
      <c r="BN20" s="16">
        <v>7.0847132397887758E-2</v>
      </c>
      <c r="BO20" s="16">
        <v>8.7427547086686541E-2</v>
      </c>
      <c r="BP20" s="16">
        <v>0.14613647589781331</v>
      </c>
      <c r="BQ20" s="16">
        <v>8.0563682184293883E-2</v>
      </c>
      <c r="BR20" s="16">
        <v>6.6615885018091126E-2</v>
      </c>
      <c r="BS20" s="16">
        <v>7.422540118955967E-2</v>
      </c>
      <c r="BT20" s="16">
        <v>0.13177898261663668</v>
      </c>
      <c r="BU20" s="16">
        <v>2.8409262230156385E-2</v>
      </c>
      <c r="BV20" s="16">
        <v>0.16710490651571019</v>
      </c>
      <c r="BW20" s="16">
        <v>8.5801210530097261E-2</v>
      </c>
      <c r="BX20" s="16">
        <v>0.12724011788299394</v>
      </c>
      <c r="BY20" s="16">
        <v>0.12286276464382395</v>
      </c>
      <c r="BZ20" s="16">
        <v>7.2451154315419708E-2</v>
      </c>
      <c r="CA20" s="16">
        <v>1.3625279598353468E-2</v>
      </c>
      <c r="CB20" s="16">
        <v>0.17554460774727376</v>
      </c>
      <c r="CC20" s="16">
        <v>9.6359795731389974E-2</v>
      </c>
      <c r="CD20" s="16">
        <v>0.11369343757811812</v>
      </c>
      <c r="CE20" s="16">
        <v>9.0952638103368844E-2</v>
      </c>
      <c r="CF20" s="16">
        <v>7.5838834167524682E-2</v>
      </c>
      <c r="CG20" s="16">
        <v>8.5568477538646492E-2</v>
      </c>
      <c r="CH20" s="16">
        <v>3.4106684917402874E-2</v>
      </c>
      <c r="CI20" s="16">
        <v>4.1958720783292991E-2</v>
      </c>
      <c r="CJ20" s="16">
        <v>0.12398118742312869</v>
      </c>
      <c r="CK20" s="16">
        <v>4.6793092974258266E-2</v>
      </c>
      <c r="CL20" s="16">
        <v>7.3752359820199342E-2</v>
      </c>
      <c r="CM20" s="16">
        <v>4.0860014749062423E-2</v>
      </c>
      <c r="CN20" s="16">
        <v>9.5668010219596367E-2</v>
      </c>
      <c r="CO20" s="16">
        <v>0.12524053584510686</v>
      </c>
      <c r="CP20" s="16">
        <v>4.9646771631029374E-2</v>
      </c>
      <c r="CQ20" s="16">
        <v>7.8803115381635314E-2</v>
      </c>
      <c r="CR20" s="16">
        <v>6.464345576939734E-2</v>
      </c>
      <c r="CS20" s="16">
        <v>3.0552751352565188E-2</v>
      </c>
      <c r="CT20" s="16">
        <v>0.12291285976903354</v>
      </c>
      <c r="CU20" s="16">
        <v>2.9177615571446935E-2</v>
      </c>
      <c r="CV20" s="16">
        <v>9.5749387641869133E-2</v>
      </c>
      <c r="CW20" s="16">
        <v>0.1065400281280644</v>
      </c>
      <c r="CX20" s="16">
        <v>4.4804248972307059E-2</v>
      </c>
      <c r="CY20" s="16">
        <v>0.14396043605238262</v>
      </c>
      <c r="CZ20" s="16">
        <v>3.9225050196368239E-2</v>
      </c>
      <c r="DA20" s="16">
        <v>8.0896290176553975E-2</v>
      </c>
      <c r="DB20" s="16">
        <v>0.12912003578100006</v>
      </c>
      <c r="DC20" s="16">
        <v>7.4624100502672208E-2</v>
      </c>
      <c r="DD20" s="16">
        <v>9.2368431443048515E-2</v>
      </c>
      <c r="DE20" s="16">
        <v>9.0419855444109909E-2</v>
      </c>
      <c r="DF20" s="16">
        <v>6.5345168564663769E-2</v>
      </c>
      <c r="DG20" s="16">
        <v>0.11259937568193146</v>
      </c>
      <c r="DH20" s="16">
        <v>0.11801123629676535</v>
      </c>
      <c r="DI20" s="16">
        <v>6.8200327853473519E-2</v>
      </c>
      <c r="DJ20" s="16">
        <v>5.8888645085848457E-2</v>
      </c>
      <c r="DK20" s="16">
        <v>6.0199016180643161E-2</v>
      </c>
      <c r="DL20" s="16">
        <v>4.1221029126366271E-2</v>
      </c>
      <c r="DM20" s="16">
        <v>5.2207737432727885E-2</v>
      </c>
      <c r="DN20" s="16">
        <v>3.0997772675682822E-2</v>
      </c>
    </row>
    <row r="21" spans="4:118" x14ac:dyDescent="0.2">
      <c r="D21" s="13">
        <v>13</v>
      </c>
      <c r="E21" s="14">
        <f>1-IFERROR(_xlfn.LOGNORM.DIST(D21,Parameter!$G$6,Parameter!$G$7,TRUE),0)</f>
        <v>7.9391537930003642E-2</v>
      </c>
      <c r="F21" s="15">
        <f t="shared" si="0"/>
        <v>0.13992513469812498</v>
      </c>
      <c r="G21" s="15">
        <f t="shared" si="1"/>
        <v>2.7577648790552044E-2</v>
      </c>
      <c r="R21" s="14">
        <f ca="1">1-IFERROR(_xlfn.LOGNORM.DIST($D21,Parameter!$E$6,Parameter!$E$7,TRUE),0)</f>
        <v>8.0547188066913744E-2</v>
      </c>
      <c r="S21" s="16">
        <v>3.7048359725019964E-2</v>
      </c>
      <c r="T21" s="16">
        <v>4.0469196687363596E-2</v>
      </c>
      <c r="U21" s="16">
        <v>9.8045016780499483E-2</v>
      </c>
      <c r="V21" s="16">
        <v>0.13492081479624563</v>
      </c>
      <c r="W21" s="16">
        <v>5.7235407586708753E-2</v>
      </c>
      <c r="X21" s="16">
        <v>5.7655819063591629E-2</v>
      </c>
      <c r="Y21" s="16">
        <v>3.438298540726259E-2</v>
      </c>
      <c r="Z21" s="16">
        <v>6.4587848100789103E-2</v>
      </c>
      <c r="AA21" s="16">
        <v>0.10820364637194646</v>
      </c>
      <c r="AB21" s="16">
        <v>0.1100663702767759</v>
      </c>
      <c r="AC21" s="16">
        <v>7.1636399131528306E-2</v>
      </c>
      <c r="AD21" s="16">
        <v>7.1359831393173034E-2</v>
      </c>
      <c r="AE21" s="16">
        <v>7.6154199603500339E-2</v>
      </c>
      <c r="AF21" s="16">
        <v>9.5863157962263634E-2</v>
      </c>
      <c r="AG21" s="16">
        <v>8.6943742147228997E-2</v>
      </c>
      <c r="AH21" s="16">
        <v>8.885579137745292E-2</v>
      </c>
      <c r="AI21" s="16">
        <v>3.9539284912378569E-2</v>
      </c>
      <c r="AJ21" s="16">
        <v>4.1735462287227021E-2</v>
      </c>
      <c r="AK21" s="16">
        <v>9.7045549094486927E-2</v>
      </c>
      <c r="AL21" s="16">
        <v>6.6119068804408321E-2</v>
      </c>
      <c r="AM21" s="16">
        <v>3.0497874278961001E-2</v>
      </c>
      <c r="AN21" s="16">
        <v>0.1365033717220494</v>
      </c>
      <c r="AO21" s="16">
        <v>5.1073438714031583E-2</v>
      </c>
      <c r="AP21" s="16">
        <v>8.1998286473136006E-2</v>
      </c>
      <c r="AQ21" s="16">
        <v>7.0423448831761104E-2</v>
      </c>
      <c r="AR21" s="16">
        <v>6.9565334515327759E-2</v>
      </c>
      <c r="AS21" s="16">
        <v>7.7325125992362742E-2</v>
      </c>
      <c r="AT21" s="16">
        <v>0.10476591106742883</v>
      </c>
      <c r="AU21" s="16">
        <v>0.13454693717827304</v>
      </c>
      <c r="AV21" s="16">
        <v>9.0458483295731473E-2</v>
      </c>
      <c r="AW21" s="16">
        <v>8.7100482010668334E-2</v>
      </c>
      <c r="AX21" s="16">
        <v>3.9626097392194581E-2</v>
      </c>
      <c r="AY21" s="16">
        <v>8.0032095075442067E-2</v>
      </c>
      <c r="AZ21" s="16">
        <v>6.9800729057393873E-2</v>
      </c>
      <c r="BA21" s="16">
        <v>0.11199214392696544</v>
      </c>
      <c r="BB21" s="16">
        <v>6.1615242670063575E-2</v>
      </c>
      <c r="BC21" s="16">
        <v>0.10736536375136163</v>
      </c>
      <c r="BD21" s="16">
        <v>5.5942122459356702E-2</v>
      </c>
      <c r="BE21" s="16">
        <v>9.5397583521679485E-2</v>
      </c>
      <c r="BF21" s="16">
        <v>3.4938304999126646E-2</v>
      </c>
      <c r="BG21" s="16">
        <v>0.10914129681617724</v>
      </c>
      <c r="BH21" s="16">
        <v>8.9755920220797814E-2</v>
      </c>
      <c r="BI21" s="16">
        <v>7.9263317523967092E-2</v>
      </c>
      <c r="BJ21" s="16">
        <v>9.6562525100466035E-2</v>
      </c>
      <c r="BK21" s="16">
        <v>7.3307992276172129E-2</v>
      </c>
      <c r="BL21" s="16">
        <v>0.1141876576079538</v>
      </c>
      <c r="BM21" s="16">
        <v>9.5426004288589938E-2</v>
      </c>
      <c r="BN21" s="16">
        <v>6.6719762978978525E-2</v>
      </c>
      <c r="BO21" s="16">
        <v>8.3363812623053479E-2</v>
      </c>
      <c r="BP21" s="16">
        <v>0.14132035157211686</v>
      </c>
      <c r="BQ21" s="16">
        <v>7.6932165384899998E-2</v>
      </c>
      <c r="BR21" s="16">
        <v>6.2772195888653126E-2</v>
      </c>
      <c r="BS21" s="16">
        <v>7.0837040264215445E-2</v>
      </c>
      <c r="BT21" s="16">
        <v>0.12582266337648029</v>
      </c>
      <c r="BU21" s="16">
        <v>2.6098190026213497E-2</v>
      </c>
      <c r="BV21" s="16">
        <v>0.16178092747994</v>
      </c>
      <c r="BW21" s="16">
        <v>8.1521487103264012E-2</v>
      </c>
      <c r="BX21" s="16">
        <v>0.12145089125568109</v>
      </c>
      <c r="BY21" s="16">
        <v>0.11822012665759873</v>
      </c>
      <c r="BZ21" s="16">
        <v>6.807000730765711E-2</v>
      </c>
      <c r="CA21" s="16">
        <v>1.2234229314789902E-2</v>
      </c>
      <c r="CB21" s="16">
        <v>0.16919267614929057</v>
      </c>
      <c r="CC21" s="16">
        <v>9.1387786474242727E-2</v>
      </c>
      <c r="CD21" s="16">
        <v>0.10894112892302321</v>
      </c>
      <c r="CE21" s="16">
        <v>8.6851357614409097E-2</v>
      </c>
      <c r="CF21" s="16">
        <v>7.2029155364508934E-2</v>
      </c>
      <c r="CG21" s="16">
        <v>8.1137423769480521E-2</v>
      </c>
      <c r="CH21" s="16">
        <v>3.1614925713827069E-2</v>
      </c>
      <c r="CI21" s="16">
        <v>3.9644671175161905E-2</v>
      </c>
      <c r="CJ21" s="16">
        <v>0.11904918466691194</v>
      </c>
      <c r="CK21" s="16">
        <v>4.370037937214899E-2</v>
      </c>
      <c r="CL21" s="16">
        <v>6.9600959088688907E-2</v>
      </c>
      <c r="CM21" s="16">
        <v>3.8278434749717483E-2</v>
      </c>
      <c r="CN21" s="16">
        <v>9.1555352445757854E-2</v>
      </c>
      <c r="CO21" s="16">
        <v>0.12012302254537999</v>
      </c>
      <c r="CP21" s="16">
        <v>4.6400560897140175E-2</v>
      </c>
      <c r="CQ21" s="16">
        <v>7.4829107356579105E-2</v>
      </c>
      <c r="CR21" s="16">
        <v>6.1138752560960241E-2</v>
      </c>
      <c r="CS21" s="16">
        <v>2.8328824118357576E-2</v>
      </c>
      <c r="CT21" s="16">
        <v>0.11639781065463495</v>
      </c>
      <c r="CU21" s="16">
        <v>2.6898013970156565E-2</v>
      </c>
      <c r="CV21" s="16">
        <v>9.1582320642025539E-2</v>
      </c>
      <c r="CW21" s="16">
        <v>0.1019593676181223</v>
      </c>
      <c r="CX21" s="16">
        <v>4.2277034012384362E-2</v>
      </c>
      <c r="CY21" s="16">
        <v>0.13838305289002872</v>
      </c>
      <c r="CZ21" s="16">
        <v>3.6225968841042233E-2</v>
      </c>
      <c r="DA21" s="16">
        <v>7.7425549527693649E-2</v>
      </c>
      <c r="DB21" s="16">
        <v>0.12267851339243785</v>
      </c>
      <c r="DC21" s="16">
        <v>7.0081113599284928E-2</v>
      </c>
      <c r="DD21" s="16">
        <v>8.6985562908281966E-2</v>
      </c>
      <c r="DE21" s="16">
        <v>8.5981027476945138E-2</v>
      </c>
      <c r="DF21" s="16">
        <v>6.2025035004950158E-2</v>
      </c>
      <c r="DG21" s="16">
        <v>0.10818149894558882</v>
      </c>
      <c r="DH21" s="16">
        <v>0.11306555437490939</v>
      </c>
      <c r="DI21" s="16">
        <v>6.4486996187034351E-2</v>
      </c>
      <c r="DJ21" s="16">
        <v>5.5293298215843723E-2</v>
      </c>
      <c r="DK21" s="16">
        <v>5.700161128399639E-2</v>
      </c>
      <c r="DL21" s="16">
        <v>3.8758240361966956E-2</v>
      </c>
      <c r="DM21" s="16">
        <v>4.8991726287529347E-2</v>
      </c>
      <c r="DN21" s="16">
        <v>2.8629690180509648E-2</v>
      </c>
    </row>
    <row r="22" spans="4:118" x14ac:dyDescent="0.2">
      <c r="D22" s="13">
        <v>14</v>
      </c>
      <c r="E22" s="14">
        <f>1-IFERROR(_xlfn.LOGNORM.DIST(D22,Parameter!$G$6,Parameter!$G$7,TRUE),0)</f>
        <v>7.5695161087201979E-2</v>
      </c>
      <c r="F22" s="15">
        <f t="shared" si="0"/>
        <v>0.1352453727166712</v>
      </c>
      <c r="G22" s="15">
        <f t="shared" si="1"/>
        <v>2.5619974320142458E-2</v>
      </c>
      <c r="R22" s="14">
        <f ca="1">1-IFERROR(_xlfn.LOGNORM.DIST($D22,Parameter!$E$6,Parameter!$E$7,TRUE),0)</f>
        <v>7.660121332955383E-2</v>
      </c>
      <c r="S22" s="16">
        <v>3.4949634427686838E-2</v>
      </c>
      <c r="T22" s="16">
        <v>3.802867634304663E-2</v>
      </c>
      <c r="U22" s="16">
        <v>9.3325679491272462E-2</v>
      </c>
      <c r="V22" s="16">
        <v>0.13006798329722713</v>
      </c>
      <c r="W22" s="16">
        <v>5.4413260780697859E-2</v>
      </c>
      <c r="X22" s="16">
        <v>5.424862922314555E-2</v>
      </c>
      <c r="Y22" s="16">
        <v>3.2178571802135902E-2</v>
      </c>
      <c r="Z22" s="16">
        <v>6.1694749649288227E-2</v>
      </c>
      <c r="AA22" s="16">
        <v>0.1039912139720387</v>
      </c>
      <c r="AB22" s="16">
        <v>0.10502184687586713</v>
      </c>
      <c r="AC22" s="16">
        <v>6.81225799509102E-2</v>
      </c>
      <c r="AD22" s="16">
        <v>6.7891034932540006E-2</v>
      </c>
      <c r="AE22" s="16">
        <v>7.257058811565853E-2</v>
      </c>
      <c r="AF22" s="16">
        <v>9.1683659556872077E-2</v>
      </c>
      <c r="AG22" s="16">
        <v>8.1887695203848199E-2</v>
      </c>
      <c r="AH22" s="16">
        <v>8.5304717062079316E-2</v>
      </c>
      <c r="AI22" s="16">
        <v>3.7214191982192668E-2</v>
      </c>
      <c r="AJ22" s="16">
        <v>3.9123759014905279E-2</v>
      </c>
      <c r="AK22" s="16">
        <v>9.3480813482039515E-2</v>
      </c>
      <c r="AL22" s="16">
        <v>6.2987838936152785E-2</v>
      </c>
      <c r="AM22" s="16">
        <v>2.8217339193565949E-2</v>
      </c>
      <c r="AN22" s="16">
        <v>0.13168896669847285</v>
      </c>
      <c r="AO22" s="16">
        <v>4.8267018722450095E-2</v>
      </c>
      <c r="AP22" s="16">
        <v>7.8711403945765257E-2</v>
      </c>
      <c r="AQ22" s="16">
        <v>6.7424884474512781E-2</v>
      </c>
      <c r="AR22" s="16">
        <v>6.5728023031539351E-2</v>
      </c>
      <c r="AS22" s="16">
        <v>7.3697662896595628E-2</v>
      </c>
      <c r="AT22" s="16">
        <v>0.10062949053796821</v>
      </c>
      <c r="AU22" s="16">
        <v>0.12975291658770094</v>
      </c>
      <c r="AV22" s="16">
        <v>8.6100242466410015E-2</v>
      </c>
      <c r="AW22" s="16">
        <v>8.3754112716956874E-2</v>
      </c>
      <c r="AX22" s="16">
        <v>3.7121532612302555E-2</v>
      </c>
      <c r="AY22" s="16">
        <v>7.572618980005974E-2</v>
      </c>
      <c r="AZ22" s="16">
        <v>6.6507830485669439E-2</v>
      </c>
      <c r="BA22" s="16">
        <v>0.10668352097996725</v>
      </c>
      <c r="BB22" s="16">
        <v>5.8273272631925388E-2</v>
      </c>
      <c r="BC22" s="16">
        <v>0.1023930058631749</v>
      </c>
      <c r="BD22" s="16">
        <v>5.3379785615492836E-2</v>
      </c>
      <c r="BE22" s="16">
        <v>9.1305417191608673E-2</v>
      </c>
      <c r="BF22" s="16">
        <v>3.250281934574395E-2</v>
      </c>
      <c r="BG22" s="16">
        <v>0.10409307593969042</v>
      </c>
      <c r="BH22" s="16">
        <v>8.6039587653741978E-2</v>
      </c>
      <c r="BI22" s="16">
        <v>7.5887770676265509E-2</v>
      </c>
      <c r="BJ22" s="16">
        <v>9.249729820869379E-2</v>
      </c>
      <c r="BK22" s="16">
        <v>7.0095675640381327E-2</v>
      </c>
      <c r="BL22" s="16">
        <v>0.1091725508466479</v>
      </c>
      <c r="BM22" s="16">
        <v>9.139727903651218E-2</v>
      </c>
      <c r="BN22" s="16">
        <v>6.3066639822422665E-2</v>
      </c>
      <c r="BO22" s="16">
        <v>7.9729505500335196E-2</v>
      </c>
      <c r="BP22" s="16">
        <v>0.13695827561264196</v>
      </c>
      <c r="BQ22" s="16">
        <v>7.3682108822846315E-2</v>
      </c>
      <c r="BR22" s="16">
        <v>5.9369675226890961E-2</v>
      </c>
      <c r="BS22" s="16">
        <v>6.7807041828503056E-2</v>
      </c>
      <c r="BT22" s="16">
        <v>0.12047774846079218</v>
      </c>
      <c r="BU22" s="16">
        <v>2.4100737140317685E-2</v>
      </c>
      <c r="BV22" s="16">
        <v>0.15695134700762448</v>
      </c>
      <c r="BW22" s="16">
        <v>7.7704458455529091E-2</v>
      </c>
      <c r="BX22" s="16">
        <v>0.11625830310714669</v>
      </c>
      <c r="BY22" s="16">
        <v>0.11403357314389895</v>
      </c>
      <c r="BZ22" s="16">
        <v>6.4198728784539139E-2</v>
      </c>
      <c r="CA22" s="16">
        <v>1.1057770178501625E-2</v>
      </c>
      <c r="CB22" s="16">
        <v>0.16344499538031032</v>
      </c>
      <c r="CC22" s="16">
        <v>8.6956351528917564E-2</v>
      </c>
      <c r="CD22" s="16">
        <v>0.10467004028032612</v>
      </c>
      <c r="CE22" s="16">
        <v>8.3178829564044321E-2</v>
      </c>
      <c r="CF22" s="16">
        <v>6.8634379289449043E-2</v>
      </c>
      <c r="CG22" s="16">
        <v>7.7191350069621301E-2</v>
      </c>
      <c r="CH22" s="16">
        <v>2.9443929985494388E-2</v>
      </c>
      <c r="CI22" s="16">
        <v>3.7595760349874108E-2</v>
      </c>
      <c r="CJ22" s="16">
        <v>0.11460785565945231</v>
      </c>
      <c r="CK22" s="16">
        <v>4.0986063272658524E-2</v>
      </c>
      <c r="CL22" s="16">
        <v>6.5919977377092986E-2</v>
      </c>
      <c r="CM22" s="16">
        <v>3.6008348430452308E-2</v>
      </c>
      <c r="CN22" s="16">
        <v>8.7865796653461392E-2</v>
      </c>
      <c r="CO22" s="16">
        <v>0.11551795848765911</v>
      </c>
      <c r="CP22" s="16">
        <v>4.3549083044768566E-2</v>
      </c>
      <c r="CQ22" s="16">
        <v>7.1287791799545808E-2</v>
      </c>
      <c r="CR22" s="16">
        <v>5.8027974837449259E-2</v>
      </c>
      <c r="CS22" s="16">
        <v>2.6391528984095247E-2</v>
      </c>
      <c r="CT22" s="16">
        <v>0.1105877278324473</v>
      </c>
      <c r="CU22" s="16">
        <v>2.4921901052756601E-2</v>
      </c>
      <c r="CV22" s="16">
        <v>8.784544614069334E-2</v>
      </c>
      <c r="CW22" s="16">
        <v>9.7847675738790163E-2</v>
      </c>
      <c r="CX22" s="16">
        <v>4.0041226732586588E-2</v>
      </c>
      <c r="CY22" s="16">
        <v>0.13335216425270358</v>
      </c>
      <c r="CZ22" s="16">
        <v>3.3619181439808909E-2</v>
      </c>
      <c r="DA22" s="16">
        <v>7.4314070579113989E-2</v>
      </c>
      <c r="DB22" s="16">
        <v>0.11691866503548565</v>
      </c>
      <c r="DC22" s="16">
        <v>6.6067493012723189E-2</v>
      </c>
      <c r="DD22" s="16">
        <v>8.2213964269939988E-2</v>
      </c>
      <c r="DE22" s="16">
        <v>8.2018576771593188E-2</v>
      </c>
      <c r="DF22" s="16">
        <v>5.9069824910175761E-2</v>
      </c>
      <c r="DG22" s="16">
        <v>0.10420369164773891</v>
      </c>
      <c r="DH22" s="16">
        <v>0.10862007723724743</v>
      </c>
      <c r="DI22" s="16">
        <v>6.1190843091867064E-2</v>
      </c>
      <c r="DJ22" s="16">
        <v>5.2121220947660363E-2</v>
      </c>
      <c r="DK22" s="16">
        <v>5.4161929392524399E-2</v>
      </c>
      <c r="DL22" s="16">
        <v>3.6586210326022273E-2</v>
      </c>
      <c r="DM22" s="16">
        <v>4.6157162790870787E-2</v>
      </c>
      <c r="DN22" s="16">
        <v>2.6573249720428294E-2</v>
      </c>
    </row>
    <row r="23" spans="4:118" x14ac:dyDescent="0.2">
      <c r="D23" s="13">
        <v>15</v>
      </c>
      <c r="E23" s="14">
        <f>1-IFERROR(_xlfn.LOGNORM.DIST(D23,Parameter!$G$6,Parameter!$G$7,TRUE),0)</f>
        <v>7.2373136790669146E-2</v>
      </c>
      <c r="F23" s="15">
        <f t="shared" si="0"/>
        <v>0.13098681827322051</v>
      </c>
      <c r="G23" s="15">
        <f t="shared" si="1"/>
        <v>2.3903490886606722E-2</v>
      </c>
      <c r="R23" s="14">
        <f ca="1">1-IFERROR(_xlfn.LOGNORM.DIST($D23,Parameter!$E$6,Parameter!$E$7,TRUE),0)</f>
        <v>7.3061392404405012E-2</v>
      </c>
      <c r="S23" s="16">
        <v>3.3084454073806002E-2</v>
      </c>
      <c r="T23" s="16">
        <v>3.5865831727107778E-2</v>
      </c>
      <c r="U23" s="16">
        <v>8.9084916503053169E-2</v>
      </c>
      <c r="V23" s="16">
        <v>0.12565992586920327</v>
      </c>
      <c r="W23" s="16">
        <v>5.1885935560852636E-2</v>
      </c>
      <c r="X23" s="16">
        <v>5.1221712520046925E-2</v>
      </c>
      <c r="Y23" s="16">
        <v>3.0232465586931156E-2</v>
      </c>
      <c r="Z23" s="16">
        <v>5.9093233654899824E-2</v>
      </c>
      <c r="AA23" s="16">
        <v>0.10017761097594979</v>
      </c>
      <c r="AB23" s="16">
        <v>0.10047791223127667</v>
      </c>
      <c r="AC23" s="16">
        <v>6.497230164560952E-2</v>
      </c>
      <c r="AD23" s="16">
        <v>6.4780081466698669E-2</v>
      </c>
      <c r="AE23" s="16">
        <v>6.935177801712733E-2</v>
      </c>
      <c r="AF23" s="16">
        <v>8.7915424441819545E-2</v>
      </c>
      <c r="AG23" s="16">
        <v>7.7382813035943521E-2</v>
      </c>
      <c r="AH23" s="16">
        <v>8.2095313670146997E-2</v>
      </c>
      <c r="AI23" s="16">
        <v>3.5151177003868272E-2</v>
      </c>
      <c r="AJ23" s="16">
        <v>3.6813419478324172E-2</v>
      </c>
      <c r="AK23" s="16">
        <v>9.0249923649052932E-2</v>
      </c>
      <c r="AL23" s="16">
        <v>6.017771571217656E-2</v>
      </c>
      <c r="AM23" s="16">
        <v>2.6223578423328564E-2</v>
      </c>
      <c r="AN23" s="16">
        <v>0.12731336470719223</v>
      </c>
      <c r="AO23" s="16">
        <v>4.5766504311295475E-2</v>
      </c>
      <c r="AP23" s="16">
        <v>7.5742048372390181E-2</v>
      </c>
      <c r="AQ23" s="16">
        <v>6.4722893499186696E-2</v>
      </c>
      <c r="AR23" s="16">
        <v>6.230500827837282E-2</v>
      </c>
      <c r="AS23" s="16">
        <v>7.0438868156638246E-2</v>
      </c>
      <c r="AT23" s="16">
        <v>9.6886843162991565E-2</v>
      </c>
      <c r="AU23" s="16">
        <v>0.12539731195778059</v>
      </c>
      <c r="AV23" s="16">
        <v>8.2185817175493114E-2</v>
      </c>
      <c r="AW23" s="16">
        <v>8.0726394553026437E-2</v>
      </c>
      <c r="AX23" s="16">
        <v>3.4907589093777114E-2</v>
      </c>
      <c r="AY23" s="16">
        <v>7.1878259974000436E-2</v>
      </c>
      <c r="AZ23" s="16">
        <v>6.3551530975954007E-2</v>
      </c>
      <c r="BA23" s="16">
        <v>0.10190679537309</v>
      </c>
      <c r="BB23" s="16">
        <v>5.5291553213935751E-2</v>
      </c>
      <c r="BC23" s="16">
        <v>9.7916352476035473E-2</v>
      </c>
      <c r="BD23" s="16">
        <v>5.1078760453201255E-2</v>
      </c>
      <c r="BE23" s="16">
        <v>8.761403595455497E-2</v>
      </c>
      <c r="BF23" s="16">
        <v>3.0363008749603293E-2</v>
      </c>
      <c r="BG23" s="16">
        <v>9.9547478407497891E-2</v>
      </c>
      <c r="BH23" s="16">
        <v>8.2684379143015518E-2</v>
      </c>
      <c r="BI23" s="16">
        <v>7.2844663070849802E-2</v>
      </c>
      <c r="BJ23" s="16">
        <v>8.882777833022526E-2</v>
      </c>
      <c r="BK23" s="16">
        <v>6.7203452161540111E-2</v>
      </c>
      <c r="BL23" s="16">
        <v>0.1046476874111657</v>
      </c>
      <c r="BM23" s="16">
        <v>8.7761246329596698E-2</v>
      </c>
      <c r="BN23" s="16">
        <v>5.980750022808301E-2</v>
      </c>
      <c r="BO23" s="16">
        <v>7.6454979073400597E-2</v>
      </c>
      <c r="BP23" s="16">
        <v>0.13298081070052759</v>
      </c>
      <c r="BQ23" s="16">
        <v>7.0751713210643441E-2</v>
      </c>
      <c r="BR23" s="16">
        <v>5.6333597844823058E-2</v>
      </c>
      <c r="BS23" s="16">
        <v>6.5077085848810334E-2</v>
      </c>
      <c r="BT23" s="16">
        <v>0.11564734270070132</v>
      </c>
      <c r="BU23" s="16">
        <v>2.2358168823983227E-2</v>
      </c>
      <c r="BV23" s="16">
        <v>0.15254125330852797</v>
      </c>
      <c r="BW23" s="16">
        <v>7.4274288529092791E-2</v>
      </c>
      <c r="BX23" s="16">
        <v>0.1115675370816579</v>
      </c>
      <c r="BY23" s="16">
        <v>0.1102319201027292</v>
      </c>
      <c r="BZ23" s="16">
        <v>6.0750556881742912E-2</v>
      </c>
      <c r="CA23" s="16">
        <v>1.005223649560083E-2</v>
      </c>
      <c r="CB23" s="16">
        <v>0.15820940067044376</v>
      </c>
      <c r="CC23" s="16">
        <v>8.297692634512055E-2</v>
      </c>
      <c r="CD23" s="16">
        <v>0.10080398900893217</v>
      </c>
      <c r="CE23" s="16">
        <v>7.9865902043192993E-2</v>
      </c>
      <c r="CF23" s="16">
        <v>6.5586101368410032E-2</v>
      </c>
      <c r="CG23" s="16">
        <v>7.3650326744715389E-2</v>
      </c>
      <c r="CH23" s="16">
        <v>2.7535465865730302E-2</v>
      </c>
      <c r="CI23" s="16">
        <v>3.576678369143016E-2</v>
      </c>
      <c r="CJ23" s="16">
        <v>0.11058024587642634</v>
      </c>
      <c r="CK23" s="16">
        <v>3.8583573421185235E-2</v>
      </c>
      <c r="CL23" s="16">
        <v>6.2630383925030952E-2</v>
      </c>
      <c r="CM23" s="16">
        <v>3.3995222862068353E-2</v>
      </c>
      <c r="CN23" s="16">
        <v>8.453164737327834E-2</v>
      </c>
      <c r="CO23" s="16">
        <v>0.11134478743676457</v>
      </c>
      <c r="CP23" s="16">
        <v>4.1023181023957411E-2</v>
      </c>
      <c r="CQ23" s="16">
        <v>6.8107894144998293E-2</v>
      </c>
      <c r="CR23" s="16">
        <v>5.5245017331773227E-2</v>
      </c>
      <c r="CS23" s="16">
        <v>2.4688714669268585E-2</v>
      </c>
      <c r="CT23" s="16">
        <v>0.10536826495358764</v>
      </c>
      <c r="CU23" s="16">
        <v>2.3193050321341224E-2</v>
      </c>
      <c r="CV23" s="16">
        <v>8.4469831943367102E-2</v>
      </c>
      <c r="CW23" s="16">
        <v>9.4130251434673573E-2</v>
      </c>
      <c r="CX23" s="16">
        <v>3.8047028281570805E-2</v>
      </c>
      <c r="CY23" s="16">
        <v>0.12878293190619694</v>
      </c>
      <c r="CZ23" s="16">
        <v>3.1333031336864381E-2</v>
      </c>
      <c r="DA23" s="16">
        <v>7.1504036802973459E-2</v>
      </c>
      <c r="DB23" s="16">
        <v>0.11173109548764582</v>
      </c>
      <c r="DC23" s="16">
        <v>6.2493172227628291E-2</v>
      </c>
      <c r="DD23" s="16">
        <v>7.7951447663036855E-2</v>
      </c>
      <c r="DE23" s="16">
        <v>7.8454771600322548E-2</v>
      </c>
      <c r="DF23" s="16">
        <v>5.6418953185541798E-2</v>
      </c>
      <c r="DG23" s="16">
        <v>0.10059674022874765</v>
      </c>
      <c r="DH23" s="16">
        <v>0.10459573088178131</v>
      </c>
      <c r="DI23" s="16">
        <v>5.8241947626109125E-2</v>
      </c>
      <c r="DJ23" s="16">
        <v>4.9299663698978424E-2</v>
      </c>
      <c r="DK23" s="16">
        <v>5.1619998037181758E-2</v>
      </c>
      <c r="DL23" s="16">
        <v>3.4654602138281754E-2</v>
      </c>
      <c r="DM23" s="16">
        <v>4.3638098322550056E-2</v>
      </c>
      <c r="DN23" s="16">
        <v>2.4771124247378706E-2</v>
      </c>
    </row>
    <row r="24" spans="4:118" x14ac:dyDescent="0.2">
      <c r="D24" s="13">
        <v>16</v>
      </c>
      <c r="E24" s="14">
        <f>1-IFERROR(_xlfn.LOGNORM.DIST(D24,Parameter!$G$6,Parameter!$G$7,TRUE),0)</f>
        <v>6.9367806733422022E-2</v>
      </c>
      <c r="F24" s="15">
        <f t="shared" si="0"/>
        <v>0.12708855336244457</v>
      </c>
      <c r="G24" s="15">
        <f t="shared" si="1"/>
        <v>2.2386025669176322E-2</v>
      </c>
      <c r="R24" s="14">
        <f ca="1">1-IFERROR(_xlfn.LOGNORM.DIST($D24,Parameter!$E$6,Parameter!$E$7,TRUE),0)</f>
        <v>6.9864729462769448E-2</v>
      </c>
      <c r="S24" s="16">
        <v>3.141469604805136E-2</v>
      </c>
      <c r="T24" s="16">
        <v>3.3934874936980108E-2</v>
      </c>
      <c r="U24" s="16">
        <v>8.5249355108735547E-2</v>
      </c>
      <c r="V24" s="16">
        <v>0.12163180769961912</v>
      </c>
      <c r="W24" s="16">
        <v>4.9607084423234693E-2</v>
      </c>
      <c r="X24" s="16">
        <v>4.8513351659428938E-2</v>
      </c>
      <c r="Y24" s="16">
        <v>2.8501313576689391E-2</v>
      </c>
      <c r="Z24" s="16">
        <v>5.6738322088749404E-2</v>
      </c>
      <c r="AA24" s="16">
        <v>9.6703593188955272E-2</v>
      </c>
      <c r="AB24" s="16">
        <v>9.6358777293526598E-2</v>
      </c>
      <c r="AC24" s="16">
        <v>6.212890234526669E-2</v>
      </c>
      <c r="AD24" s="16">
        <v>6.1971267765271065E-2</v>
      </c>
      <c r="AE24" s="16">
        <v>6.6441402473112698E-2</v>
      </c>
      <c r="AF24" s="16">
        <v>8.4496174165418769E-2</v>
      </c>
      <c r="AG24" s="16">
        <v>7.3341554729120961E-2</v>
      </c>
      <c r="AH24" s="16">
        <v>7.9176261227057343E-2</v>
      </c>
      <c r="AI24" s="16">
        <v>3.3307215854359695E-2</v>
      </c>
      <c r="AJ24" s="16">
        <v>3.4754414436889092E-2</v>
      </c>
      <c r="AK24" s="16">
        <v>8.7303403715582539E-2</v>
      </c>
      <c r="AL24" s="16">
        <v>5.763878177246573E-2</v>
      </c>
      <c r="AM24" s="16">
        <v>2.4466522948150882E-2</v>
      </c>
      <c r="AN24" s="16">
        <v>0.12331275999376945</v>
      </c>
      <c r="AO24" s="16">
        <v>4.3522709638116108E-2</v>
      </c>
      <c r="AP24" s="16">
        <v>7.304237100099642E-2</v>
      </c>
      <c r="AQ24" s="16">
        <v>6.2272189180847093E-2</v>
      </c>
      <c r="AR24" s="16">
        <v>5.9230380769043522E-2</v>
      </c>
      <c r="AS24" s="16">
        <v>6.7491837135451704E-2</v>
      </c>
      <c r="AT24" s="16">
        <v>9.3479297579440734E-2</v>
      </c>
      <c r="AU24" s="16">
        <v>0.12141626468683564</v>
      </c>
      <c r="AV24" s="16">
        <v>7.8646890425201121E-2</v>
      </c>
      <c r="AW24" s="16">
        <v>7.7969666159066864E-2</v>
      </c>
      <c r="AX24" s="16">
        <v>3.2935841544667777E-2</v>
      </c>
      <c r="AY24" s="16">
        <v>6.8416197275461887E-2</v>
      </c>
      <c r="AZ24" s="16">
        <v>6.0879634227137158E-2</v>
      </c>
      <c r="BA24" s="16">
        <v>9.7581163168999674E-2</v>
      </c>
      <c r="BB24" s="16">
        <v>5.2612667844467387E-2</v>
      </c>
      <c r="BC24" s="16">
        <v>9.3860152920431927E-2</v>
      </c>
      <c r="BD24" s="16">
        <v>4.8998425533133161E-2</v>
      </c>
      <c r="BE24" s="16">
        <v>8.426286392892901E-2</v>
      </c>
      <c r="BF24" s="16">
        <v>2.8468324811809387E-2</v>
      </c>
      <c r="BG24" s="16">
        <v>9.5428282408951293E-2</v>
      </c>
      <c r="BH24" s="16">
        <v>7.963582760262522E-2</v>
      </c>
      <c r="BI24" s="16">
        <v>7.0083432432534343E-2</v>
      </c>
      <c r="BJ24" s="16">
        <v>8.5494332166478282E-2</v>
      </c>
      <c r="BK24" s="16">
        <v>6.4582308698548085E-2</v>
      </c>
      <c r="BL24" s="16">
        <v>0.10053938509276261</v>
      </c>
      <c r="BM24" s="16">
        <v>8.4458676097071694E-2</v>
      </c>
      <c r="BN24" s="16">
        <v>5.6879639888017031E-2</v>
      </c>
      <c r="BO24" s="16">
        <v>7.3485438444701789E-2</v>
      </c>
      <c r="BP24" s="16">
        <v>0.12933279154610455</v>
      </c>
      <c r="BQ24" s="16">
        <v>6.8092362634826764E-2</v>
      </c>
      <c r="BR24" s="16">
        <v>5.3605607206726913E-2</v>
      </c>
      <c r="BS24" s="16">
        <v>6.2601334834281319E-2</v>
      </c>
      <c r="BT24" s="16">
        <v>0.11125483161769167</v>
      </c>
      <c r="BU24" s="16">
        <v>2.0825520499997863E-2</v>
      </c>
      <c r="BV24" s="16">
        <v>0.14849103129963581</v>
      </c>
      <c r="BW24" s="16">
        <v>7.1171406560773032E-2</v>
      </c>
      <c r="BX24" s="16">
        <v>0.10730366361086763</v>
      </c>
      <c r="BY24" s="16">
        <v>0.10675879826638979</v>
      </c>
      <c r="BZ24" s="16">
        <v>5.7657757813923127E-2</v>
      </c>
      <c r="CA24" s="16">
        <v>9.1848181273864737E-3</v>
      </c>
      <c r="CB24" s="16">
        <v>0.1534125738722083</v>
      </c>
      <c r="CC24" s="16">
        <v>7.9379901119122964E-2</v>
      </c>
      <c r="CD24" s="16">
        <v>9.7282777991807734E-2</v>
      </c>
      <c r="CE24" s="16">
        <v>7.6858118808900366E-2</v>
      </c>
      <c r="CF24" s="16">
        <v>6.2830658797014216E-2</v>
      </c>
      <c r="CG24" s="16">
        <v>7.045161740434136E-2</v>
      </c>
      <c r="CH24" s="16">
        <v>2.5844676232653296E-2</v>
      </c>
      <c r="CI24" s="16">
        <v>3.4122521704034514E-2</v>
      </c>
      <c r="CJ24" s="16">
        <v>0.10690545190905232</v>
      </c>
      <c r="CK24" s="16">
        <v>3.6441299741109434E-2</v>
      </c>
      <c r="CL24" s="16">
        <v>5.9670358787940136E-2</v>
      </c>
      <c r="CM24" s="16">
        <v>3.2196762985342242E-2</v>
      </c>
      <c r="CN24" s="16">
        <v>8.1499525701785314E-2</v>
      </c>
      <c r="CO24" s="16">
        <v>0.10753977103702284</v>
      </c>
      <c r="CP24" s="16">
        <v>3.876919242875454E-2</v>
      </c>
      <c r="CQ24" s="16">
        <v>6.5233485310503658E-2</v>
      </c>
      <c r="CR24" s="16">
        <v>5.2738187005368475E-2</v>
      </c>
      <c r="CS24" s="16">
        <v>2.3180236394380271E-2</v>
      </c>
      <c r="CT24" s="16">
        <v>0.10064929217434826</v>
      </c>
      <c r="CU24" s="16">
        <v>2.1668327926524622E-2</v>
      </c>
      <c r="CV24" s="16">
        <v>8.1401135105142797E-2</v>
      </c>
      <c r="CW24" s="16">
        <v>9.0748132253013924E-2</v>
      </c>
      <c r="CX24" s="16">
        <v>3.6255649232890597E-2</v>
      </c>
      <c r="CY24" s="16">
        <v>0.12460807958050468</v>
      </c>
      <c r="CZ24" s="16">
        <v>2.9312354171905808E-2</v>
      </c>
      <c r="DA24" s="16">
        <v>6.8949920146941679E-2</v>
      </c>
      <c r="DB24" s="16">
        <v>0.1070294406028911</v>
      </c>
      <c r="DC24" s="16">
        <v>5.9287825938651673E-2</v>
      </c>
      <c r="DD24" s="16">
        <v>7.4117931280908822E-2</v>
      </c>
      <c r="DE24" s="16">
        <v>7.5228500665577958E-2</v>
      </c>
      <c r="DF24" s="16">
        <v>5.4024963462715458E-2</v>
      </c>
      <c r="DG24" s="16">
        <v>9.7305909085753539E-2</v>
      </c>
      <c r="DH24" s="16">
        <v>0.10093001155585157</v>
      </c>
      <c r="DI24" s="16">
        <v>5.5585612761115732E-2</v>
      </c>
      <c r="DJ24" s="16">
        <v>4.6771967634690936E-2</v>
      </c>
      <c r="DK24" s="16">
        <v>4.9328923035806271E-2</v>
      </c>
      <c r="DL24" s="16">
        <v>3.2924300178291954E-2</v>
      </c>
      <c r="DM24" s="16">
        <v>4.1383240524238252E-2</v>
      </c>
      <c r="DN24" s="16">
        <v>2.3179270542633468E-2</v>
      </c>
    </row>
    <row r="25" spans="4:118" x14ac:dyDescent="0.2">
      <c r="D25" s="13">
        <v>17</v>
      </c>
      <c r="E25" s="14">
        <f>1-IFERROR(_xlfn.LOGNORM.DIST(D25,Parameter!$G$6,Parameter!$G$7,TRUE),0)</f>
        <v>6.6633170164149935E-2</v>
      </c>
      <c r="F25" s="15">
        <f t="shared" si="0"/>
        <v>0.12350149008224828</v>
      </c>
      <c r="G25" s="15">
        <f t="shared" si="1"/>
        <v>2.1002449432384031E-2</v>
      </c>
      <c r="R25" s="14">
        <f ca="1">1-IFERROR(_xlfn.LOGNORM.DIST($D25,Parameter!$E$6,Parameter!$E$7,TRUE),0)</f>
        <v>6.6961009859577536E-2</v>
      </c>
      <c r="S25" s="16">
        <v>2.9910266131165542E-2</v>
      </c>
      <c r="T25" s="16">
        <v>3.2199711152698152E-2</v>
      </c>
      <c r="U25" s="16">
        <v>8.1760371213275729E-2</v>
      </c>
      <c r="V25" s="16">
        <v>0.11793143911912474</v>
      </c>
      <c r="W25" s="16">
        <v>4.7539872354571244E-2</v>
      </c>
      <c r="X25" s="16">
        <v>4.6074723298748288E-2</v>
      </c>
      <c r="Y25" s="16">
        <v>2.6951051005731141E-2</v>
      </c>
      <c r="Z25" s="16">
        <v>5.459415945297752E-2</v>
      </c>
      <c r="AA25" s="16">
        <v>9.3521620630845792E-2</v>
      </c>
      <c r="AB25" s="16">
        <v>9.260375939130594E-2</v>
      </c>
      <c r="AC25" s="16">
        <v>5.9547265151296935E-2</v>
      </c>
      <c r="AD25" s="16">
        <v>5.9420233022959068E-2</v>
      </c>
      <c r="AE25" s="16">
        <v>6.3794516828863279E-2</v>
      </c>
      <c r="AF25" s="16">
        <v>8.1376077201088415E-2</v>
      </c>
      <c r="AG25" s="16">
        <v>6.9694327107489351E-2</v>
      </c>
      <c r="AH25" s="16">
        <v>7.6506463580564343E-2</v>
      </c>
      <c r="AI25" s="16">
        <v>3.1648370611383925E-2</v>
      </c>
      <c r="AJ25" s="16">
        <v>3.290734394389494E-2</v>
      </c>
      <c r="AK25" s="16">
        <v>8.4601554298710746E-2</v>
      </c>
      <c r="AL25" s="16">
        <v>5.5331285601723734E-2</v>
      </c>
      <c r="AM25" s="16">
        <v>2.2907100727603158E-2</v>
      </c>
      <c r="AN25" s="16">
        <v>0.11963577428893091</v>
      </c>
      <c r="AO25" s="16">
        <v>4.1496686067665656E-2</v>
      </c>
      <c r="AP25" s="16">
        <v>7.0574080509558712E-2</v>
      </c>
      <c r="AQ25" s="16">
        <v>6.0036610493562015E-2</v>
      </c>
      <c r="AR25" s="16">
        <v>5.6451814420849566E-2</v>
      </c>
      <c r="AS25" s="16">
        <v>6.4811187579808305E-2</v>
      </c>
      <c r="AT25" s="16">
        <v>9.0359796844228457E-2</v>
      </c>
      <c r="AU25" s="16">
        <v>0.11775836716109533</v>
      </c>
      <c r="AV25" s="16">
        <v>7.5428925799634783E-2</v>
      </c>
      <c r="AW25" s="16">
        <v>7.5445741767402708E-2</v>
      </c>
      <c r="AX25" s="16">
        <v>3.1168181180180832E-2</v>
      </c>
      <c r="AY25" s="16">
        <v>6.5282639083203309E-2</v>
      </c>
      <c r="AZ25" s="16">
        <v>5.8450552947163725E-2</v>
      </c>
      <c r="BA25" s="16">
        <v>9.3641944970667024E-2</v>
      </c>
      <c r="BB25" s="16">
        <v>5.0191065332860108E-2</v>
      </c>
      <c r="BC25" s="16">
        <v>9.0164182603154619E-2</v>
      </c>
      <c r="BD25" s="16">
        <v>4.7106445125782659E-2</v>
      </c>
      <c r="BE25" s="16">
        <v>8.1203421016197042E-2</v>
      </c>
      <c r="BF25" s="16">
        <v>2.6779166742732619E-2</v>
      </c>
      <c r="BG25" s="16">
        <v>9.1674473220272445E-2</v>
      </c>
      <c r="BH25" s="16">
        <v>7.6850339264065815E-2</v>
      </c>
      <c r="BI25" s="16">
        <v>6.7563670638920215E-2</v>
      </c>
      <c r="BJ25" s="16">
        <v>8.2449213996057424E-2</v>
      </c>
      <c r="BK25" s="16">
        <v>6.2193119819470843E-2</v>
      </c>
      <c r="BL25" s="16">
        <v>9.6788586509707564E-2</v>
      </c>
      <c r="BM25" s="16">
        <v>8.1442152738026352E-2</v>
      </c>
      <c r="BN25" s="16">
        <v>5.4233288452007256E-2</v>
      </c>
      <c r="BO25" s="16">
        <v>7.0777094292650111E-2</v>
      </c>
      <c r="BP25" s="16">
        <v>0.12596972237355464</v>
      </c>
      <c r="BQ25" s="16">
        <v>6.5665207311127682E-2</v>
      </c>
      <c r="BR25" s="16">
        <v>5.1139398129187552E-2</v>
      </c>
      <c r="BS25" s="16">
        <v>6.0343189821734255E-2</v>
      </c>
      <c r="BT25" s="16">
        <v>0.10723870992555451</v>
      </c>
      <c r="BU25" s="16">
        <v>1.9467781539337148E-2</v>
      </c>
      <c r="BV25" s="16">
        <v>0.14475252076766376</v>
      </c>
      <c r="BW25" s="16">
        <v>6.8348280132172867E-2</v>
      </c>
      <c r="BX25" s="16">
        <v>0.1034065604963581</v>
      </c>
      <c r="BY25" s="16">
        <v>0.10356888146753485</v>
      </c>
      <c r="BZ25" s="16">
        <v>5.4866608656197746E-2</v>
      </c>
      <c r="CA25" s="16">
        <v>8.4304167685139708E-3</v>
      </c>
      <c r="CB25" s="16">
        <v>0.14899531273506184</v>
      </c>
      <c r="CC25" s="16">
        <v>7.6109708019724054E-2</v>
      </c>
      <c r="CD25" s="16">
        <v>9.4058104378181406E-2</v>
      </c>
      <c r="CE25" s="16">
        <v>7.4111922479257908E-2</v>
      </c>
      <c r="CF25" s="16">
        <v>6.0325284203815666E-2</v>
      </c>
      <c r="CG25" s="16">
        <v>6.7545203430499079E-2</v>
      </c>
      <c r="CH25" s="16">
        <v>2.4336425692378039E-2</v>
      </c>
      <c r="CI25" s="16">
        <v>3.2635084014678406E-2</v>
      </c>
      <c r="CJ25" s="16">
        <v>0.10353453076344898</v>
      </c>
      <c r="CK25" s="16">
        <v>3.4518572601304753E-2</v>
      </c>
      <c r="CL25" s="16">
        <v>5.6990773717755294E-2</v>
      </c>
      <c r="CM25" s="16">
        <v>3.0579622453871802E-2</v>
      </c>
      <c r="CN25" s="16">
        <v>7.8726682475326548E-2</v>
      </c>
      <c r="CO25" s="16">
        <v>0.10405170129782948</v>
      </c>
      <c r="CP25" s="16">
        <v>3.6744795404558994E-2</v>
      </c>
      <c r="CQ25" s="16">
        <v>6.261998153312609E-2</v>
      </c>
      <c r="CR25" s="16">
        <v>5.0466411359001095E-2</v>
      </c>
      <c r="CS25" s="16">
        <v>2.1834669099555892E-2</v>
      </c>
      <c r="CT25" s="16">
        <v>9.6358681821602787E-2</v>
      </c>
      <c r="CU25" s="16">
        <v>2.0314080880124985E-2</v>
      </c>
      <c r="CV25" s="16">
        <v>7.8595843267576293E-2</v>
      </c>
      <c r="CW25" s="16">
        <v>8.7654054337485854E-2</v>
      </c>
      <c r="CX25" s="16">
        <v>3.4636380493250241E-2</v>
      </c>
      <c r="CY25" s="16">
        <v>0.12077344386554134</v>
      </c>
      <c r="CZ25" s="16">
        <v>2.7513972723005709E-2</v>
      </c>
      <c r="DA25" s="16">
        <v>6.6615302927863551E-2</v>
      </c>
      <c r="DB25" s="16">
        <v>0.10274447828006783</v>
      </c>
      <c r="DC25" s="16">
        <v>5.6395668613977268E-2</v>
      </c>
      <c r="DD25" s="16">
        <v>7.0649674826745334E-2</v>
      </c>
      <c r="DE25" s="16">
        <v>7.2290963874841574E-2</v>
      </c>
      <c r="DF25" s="16">
        <v>5.1850087114044929E-2</v>
      </c>
      <c r="DG25" s="16">
        <v>9.4287241028264468E-2</v>
      </c>
      <c r="DH25" s="16">
        <v>9.7572749822780747E-2</v>
      </c>
      <c r="DI25" s="16">
        <v>5.3178365211920875E-2</v>
      </c>
      <c r="DJ25" s="16">
        <v>4.4493291066165619E-2</v>
      </c>
      <c r="DK25" s="16">
        <v>4.725144534270731E-2</v>
      </c>
      <c r="DL25" s="16">
        <v>3.1364407189537813E-2</v>
      </c>
      <c r="DM25" s="16">
        <v>3.9352045182510897E-2</v>
      </c>
      <c r="DN25" s="16">
        <v>2.1763277832249295E-2</v>
      </c>
    </row>
    <row r="26" spans="4:118" x14ac:dyDescent="0.2">
      <c r="D26" s="13">
        <v>18</v>
      </c>
      <c r="E26" s="14">
        <f>1-IFERROR(_xlfn.LOGNORM.DIST(D26,Parameter!$G$6,Parameter!$G$7,TRUE),0)</f>
        <v>6.4132019553818531E-2</v>
      </c>
      <c r="F26" s="15">
        <f t="shared" si="0"/>
        <v>0.12018554564906159</v>
      </c>
      <c r="G26" s="15">
        <f t="shared" si="1"/>
        <v>1.9764957021906636E-2</v>
      </c>
      <c r="R26" s="14">
        <f ca="1">1-IFERROR(_xlfn.LOGNORM.DIST($D26,Parameter!$E$6,Parameter!$E$7,TRUE),0)</f>
        <v>6.4309653969312097E-2</v>
      </c>
      <c r="S26" s="16">
        <v>2.8547064124306409E-2</v>
      </c>
      <c r="T26" s="16">
        <v>3.0631475522343021E-2</v>
      </c>
      <c r="U26" s="16">
        <v>7.8570486767142844E-2</v>
      </c>
      <c r="V26" s="16">
        <v>0.11451624794188275</v>
      </c>
      <c r="W26" s="16">
        <v>4.5654611938712564E-2</v>
      </c>
      <c r="X26" s="16">
        <v>4.3866657978865242E-2</v>
      </c>
      <c r="Y26" s="16">
        <v>2.5554520399251657E-2</v>
      </c>
      <c r="Z26" s="16">
        <v>5.2631763334735626E-2</v>
      </c>
      <c r="AA26" s="16">
        <v>9.0593028246970353E-2</v>
      </c>
      <c r="AB26" s="16">
        <v>8.9163614935554913E-2</v>
      </c>
      <c r="AC26" s="16">
        <v>5.7190965794529647E-2</v>
      </c>
      <c r="AD26" s="16">
        <v>5.7091157507182633E-2</v>
      </c>
      <c r="AE26" s="16">
        <v>6.1374787284097843E-2</v>
      </c>
      <c r="AF26" s="16">
        <v>7.8514716772360771E-2</v>
      </c>
      <c r="AG26" s="16">
        <v>6.6385048160177096E-2</v>
      </c>
      <c r="AH26" s="16">
        <v>7.4052560462623873E-2</v>
      </c>
      <c r="AI26" s="16">
        <v>3.0147483824716104E-2</v>
      </c>
      <c r="AJ26" s="16">
        <v>3.1240730780050519E-2</v>
      </c>
      <c r="AK26" s="16">
        <v>8.2112086495035097E-2</v>
      </c>
      <c r="AL26" s="16">
        <v>5.3223128917849527E-2</v>
      </c>
      <c r="AM26" s="16">
        <v>2.1514369737102412E-2</v>
      </c>
      <c r="AN26" s="16">
        <v>0.11624048374814888</v>
      </c>
      <c r="AO26" s="16">
        <v>3.9657152756566005E-2</v>
      </c>
      <c r="AP26" s="16">
        <v>6.830611213257809E-2</v>
      </c>
      <c r="AQ26" s="16">
        <v>5.7986882181236266E-2</v>
      </c>
      <c r="AR26" s="16">
        <v>5.3927187336131333E-2</v>
      </c>
      <c r="AS26" s="16">
        <v>6.236022530760299E-2</v>
      </c>
      <c r="AT26" s="16">
        <v>8.7490086735995787E-2</v>
      </c>
      <c r="AU26" s="16">
        <v>0.11438168188564291</v>
      </c>
      <c r="AV26" s="16">
        <v>7.2487791080512731E-2</v>
      </c>
      <c r="AW26" s="16">
        <v>7.3123607793007639E-2</v>
      </c>
      <c r="AX26" s="16">
        <v>2.9574183244429064E-2</v>
      </c>
      <c r="AY26" s="16">
        <v>6.243132272028451E-2</v>
      </c>
      <c r="AZ26" s="16">
        <v>5.6230690969925612E-2</v>
      </c>
      <c r="BA26" s="16">
        <v>9.0036670798362528E-2</v>
      </c>
      <c r="BB26" s="16">
        <v>4.7990099460468727E-2</v>
      </c>
      <c r="BC26" s="16">
        <v>8.6779590398403217E-2</v>
      </c>
      <c r="BD26" s="16">
        <v>4.5376717045327752E-2</v>
      </c>
      <c r="BE26" s="16">
        <v>7.8396377551905982E-2</v>
      </c>
      <c r="BF26" s="16">
        <v>2.5264055782632133E-2</v>
      </c>
      <c r="BG26" s="16">
        <v>8.8236549219192439E-2</v>
      </c>
      <c r="BH26" s="16">
        <v>7.4292544710629516E-2</v>
      </c>
      <c r="BI26" s="16">
        <v>6.5252638623377823E-2</v>
      </c>
      <c r="BJ26" s="16">
        <v>7.9653674111682116E-2</v>
      </c>
      <c r="BK26" s="16">
        <v>6.0004219846098605E-2</v>
      </c>
      <c r="BL26" s="16">
        <v>9.3347318155055481E-2</v>
      </c>
      <c r="BM26" s="16">
        <v>7.8673199981132091E-2</v>
      </c>
      <c r="BN26" s="16">
        <v>5.1828388711231854E-2</v>
      </c>
      <c r="BO26" s="16">
        <v>6.8294470356097259E-2</v>
      </c>
      <c r="BP26" s="16">
        <v>0.12285523457165815</v>
      </c>
      <c r="BQ26" s="16">
        <v>6.3438772484905259E-2</v>
      </c>
      <c r="BR26" s="16">
        <v>4.8897711744665617E-2</v>
      </c>
      <c r="BS26" s="16">
        <v>5.8273022560654475E-2</v>
      </c>
      <c r="BT26" s="16">
        <v>0.10354894096599276</v>
      </c>
      <c r="BU26" s="16">
        <v>1.8257283855463546E-2</v>
      </c>
      <c r="BV26" s="16">
        <v>0.14128630057390434</v>
      </c>
      <c r="BW26" s="16">
        <v>6.576645891044397E-2</v>
      </c>
      <c r="BX26" s="16">
        <v>9.9827339211760568E-2</v>
      </c>
      <c r="BY26" s="16">
        <v>0.10062523194229789</v>
      </c>
      <c r="BZ26" s="16">
        <v>5.2333903579960594E-2</v>
      </c>
      <c r="CA26" s="16">
        <v>7.7695294594203324E-3</v>
      </c>
      <c r="CB26" s="16">
        <v>0.14490918476668591</v>
      </c>
      <c r="CC26" s="16">
        <v>7.3121381186078804E-2</v>
      </c>
      <c r="CD26" s="16">
        <v>9.1090684345970674E-2</v>
      </c>
      <c r="CE26" s="16">
        <v>7.1591994619738752E-2</v>
      </c>
      <c r="CF26" s="16">
        <v>5.8035419524800846E-2</v>
      </c>
      <c r="CG26" s="16">
        <v>6.489065517705539E-2</v>
      </c>
      <c r="CH26" s="16">
        <v>2.2982788385837116E-2</v>
      </c>
      <c r="CI26" s="16">
        <v>3.1282067231111266E-2</v>
      </c>
      <c r="CJ26" s="16">
        <v>0.10042762114653048</v>
      </c>
      <c r="CK26" s="16">
        <v>3.2782881982124756E-2</v>
      </c>
      <c r="CL26" s="16">
        <v>5.4552041722307432E-2</v>
      </c>
      <c r="CM26" s="16">
        <v>2.9117129635487293E-2</v>
      </c>
      <c r="CN26" s="16">
        <v>7.617841282203075E-2</v>
      </c>
      <c r="CO26" s="16">
        <v>0.10083888342100811</v>
      </c>
      <c r="CP26" s="16">
        <v>3.4916133070404642E-2</v>
      </c>
      <c r="CQ26" s="16">
        <v>6.0231349787878585E-2</v>
      </c>
      <c r="CR26" s="16">
        <v>4.8396597699949195E-2</v>
      </c>
      <c r="CS26" s="16">
        <v>2.0627049296672584E-2</v>
      </c>
      <c r="CT26" s="16">
        <v>9.2437939993263329E-2</v>
      </c>
      <c r="CU26" s="16">
        <v>1.9103661824120599E-2</v>
      </c>
      <c r="CV26" s="16">
        <v>7.60186391163582E-2</v>
      </c>
      <c r="CW26" s="16">
        <v>8.4809615953225226E-2</v>
      </c>
      <c r="CX26" s="16">
        <v>3.3164561654920099E-2</v>
      </c>
      <c r="CY26" s="16">
        <v>0.11723483683987601</v>
      </c>
      <c r="CZ26" s="16">
        <v>2.5903597508450504E-2</v>
      </c>
      <c r="DA26" s="16">
        <v>6.447065265831331E-2</v>
      </c>
      <c r="DB26" s="16">
        <v>9.8819984780761594E-2</v>
      </c>
      <c r="DC26" s="16">
        <v>5.3771831236405054E-2</v>
      </c>
      <c r="DD26" s="16">
        <v>6.7495249221740217E-2</v>
      </c>
      <c r="DE26" s="16">
        <v>6.9602656164924226E-2</v>
      </c>
      <c r="DF26" s="16">
        <v>4.986384417106593E-2</v>
      </c>
      <c r="DG26" s="16">
        <v>9.1504956455135344E-2</v>
      </c>
      <c r="DH26" s="16">
        <v>9.4483132342531473E-2</v>
      </c>
      <c r="DI26" s="16">
        <v>5.098516808729503E-2</v>
      </c>
      <c r="DJ26" s="16">
        <v>4.2427641706145991E-2</v>
      </c>
      <c r="DK26" s="16">
        <v>4.5357543978731374E-2</v>
      </c>
      <c r="DL26" s="16">
        <v>2.9950165434176168E-2</v>
      </c>
      <c r="DM26" s="16">
        <v>3.7512006344474047E-2</v>
      </c>
      <c r="DN26" s="16">
        <v>2.0495862240512253E-2</v>
      </c>
    </row>
    <row r="27" spans="4:118" x14ac:dyDescent="0.2">
      <c r="D27" s="13">
        <v>19</v>
      </c>
      <c r="E27" s="14">
        <f>1-IFERROR(_xlfn.LOGNORM.DIST(D27,Parameter!$G$6,Parameter!$G$7,TRUE),0)</f>
        <v>6.1833892635246523E-2</v>
      </c>
      <c r="F27" s="15">
        <f t="shared" si="0"/>
        <v>0.11710760544655868</v>
      </c>
      <c r="G27" s="15">
        <f t="shared" si="1"/>
        <v>1.8651914641975499E-2</v>
      </c>
      <c r="R27" s="14">
        <f ca="1">1-IFERROR(_xlfn.LOGNORM.DIST($D27,Parameter!$E$6,Parameter!$E$7,TRUE),0)</f>
        <v>6.1877468566476801E-2</v>
      </c>
      <c r="S27" s="16">
        <v>2.7305543662894616E-2</v>
      </c>
      <c r="T27" s="16">
        <v>2.9206790534553995E-2</v>
      </c>
      <c r="U27" s="16">
        <v>7.5640788236638667E-2</v>
      </c>
      <c r="V27" s="16">
        <v>0.11135109786595543</v>
      </c>
      <c r="W27" s="16">
        <v>4.3927078975094624E-2</v>
      </c>
      <c r="X27" s="16">
        <v>4.1857338714916148E-2</v>
      </c>
      <c r="Y27" s="16">
        <v>2.4289791689666829E-2</v>
      </c>
      <c r="Z27" s="16">
        <v>5.0827418367434984E-2</v>
      </c>
      <c r="AA27" s="16">
        <v>8.7885993207004631E-2</v>
      </c>
      <c r="AB27" s="16">
        <v>8.5997906575987715E-2</v>
      </c>
      <c r="AC27" s="16">
        <v>5.5030236641475327E-2</v>
      </c>
      <c r="AD27" s="16">
        <v>5.4954762817924663E-2</v>
      </c>
      <c r="AE27" s="16">
        <v>5.9152481932893575E-2</v>
      </c>
      <c r="AF27" s="16">
        <v>7.5878917109401423E-2</v>
      </c>
      <c r="AG27" s="16">
        <v>6.3367977334712111E-2</v>
      </c>
      <c r="AH27" s="16">
        <v>7.1787143896695604E-2</v>
      </c>
      <c r="AI27" s="16">
        <v>2.8782546695800493E-2</v>
      </c>
      <c r="AJ27" s="16">
        <v>2.9729106520988813E-2</v>
      </c>
      <c r="AK27" s="16">
        <v>7.9808423028587927E-2</v>
      </c>
      <c r="AL27" s="16">
        <v>5.1288073751796115E-2</v>
      </c>
      <c r="AM27" s="16">
        <v>2.0263505515851654E-2</v>
      </c>
      <c r="AN27" s="16">
        <v>0.11309227624000329</v>
      </c>
      <c r="AO27" s="16">
        <v>3.7978671712291856E-2</v>
      </c>
      <c r="AP27" s="16">
        <v>6.6212957899149161E-2</v>
      </c>
      <c r="AQ27" s="16">
        <v>5.6099013308836043E-2</v>
      </c>
      <c r="AR27" s="16">
        <v>5.1622173962808882E-2</v>
      </c>
      <c r="AS27" s="16">
        <v>6.0108918433640524E-2</v>
      </c>
      <c r="AT27" s="16">
        <v>8.4838696586580609E-2</v>
      </c>
      <c r="AU27" s="16">
        <v>0.11125159359649295</v>
      </c>
      <c r="AV27" s="16">
        <v>6.9787341355436183E-2</v>
      </c>
      <c r="AW27" s="16">
        <v>7.0977771169518755E-2</v>
      </c>
      <c r="AX27" s="16">
        <v>2.8129246790465801E-2</v>
      </c>
      <c r="AY27" s="16">
        <v>5.9824482367945575E-2</v>
      </c>
      <c r="AZ27" s="16">
        <v>5.4192574184689923E-2</v>
      </c>
      <c r="BA27" s="16">
        <v>8.6722268978014272E-2</v>
      </c>
      <c r="BB27" s="16">
        <v>4.5979921991926354E-2</v>
      </c>
      <c r="BC27" s="16">
        <v>8.3666277398628641E-2</v>
      </c>
      <c r="BD27" s="16">
        <v>4.3787909585281448E-2</v>
      </c>
      <c r="BE27" s="16">
        <v>7.5809442644044989E-2</v>
      </c>
      <c r="BF27" s="16">
        <v>2.3897645466516293E-2</v>
      </c>
      <c r="BG27" s="16">
        <v>8.5073870309054112E-2</v>
      </c>
      <c r="BH27" s="16">
        <v>7.1933400309691087E-2</v>
      </c>
      <c r="BI27" s="16">
        <v>6.3123487847099868E-2</v>
      </c>
      <c r="BJ27" s="16">
        <v>7.7075885129274879E-2</v>
      </c>
      <c r="BK27" s="16">
        <v>5.7989667009355927E-2</v>
      </c>
      <c r="BL27" s="16">
        <v>9.0176146471556362E-2</v>
      </c>
      <c r="BM27" s="16">
        <v>7.6120219281125889E-2</v>
      </c>
      <c r="BN27" s="16">
        <v>4.9632302549115215E-2</v>
      </c>
      <c r="BO27" s="16">
        <v>6.6008476031093388E-2</v>
      </c>
      <c r="BP27" s="16">
        <v>0.11995925271122032</v>
      </c>
      <c r="BQ27" s="16">
        <v>6.1387247470656381E-2</v>
      </c>
      <c r="BR27" s="16">
        <v>4.6850196305969871E-2</v>
      </c>
      <c r="BS27" s="16">
        <v>5.6366554144214431E-2</v>
      </c>
      <c r="BT27" s="16">
        <v>0.10014433730402783</v>
      </c>
      <c r="BU27" s="16">
        <v>1.7171872891139639E-2</v>
      </c>
      <c r="BV27" s="16">
        <v>0.13805972649323861</v>
      </c>
      <c r="BW27" s="16">
        <v>6.3394460494177185E-2</v>
      </c>
      <c r="BX27" s="16">
        <v>9.6525774969023814E-2</v>
      </c>
      <c r="BY27" s="16">
        <v>9.7897390131705619E-2</v>
      </c>
      <c r="BZ27" s="16">
        <v>5.0024465985403666E-2</v>
      </c>
      <c r="CA27" s="16">
        <v>7.1867890322521166E-3</v>
      </c>
      <c r="CB27" s="16">
        <v>0.14111410860052742</v>
      </c>
      <c r="CC27" s="16">
        <v>7.0378094103669131E-2</v>
      </c>
      <c r="CD27" s="16">
        <v>8.8348187334955641E-2</v>
      </c>
      <c r="CE27" s="16">
        <v>6.9269350326534918E-2</v>
      </c>
      <c r="CF27" s="16">
        <v>5.5932797609680285E-2</v>
      </c>
      <c r="CG27" s="16">
        <v>6.2454895408097899E-2</v>
      </c>
      <c r="CH27" s="16">
        <v>2.1761279981444281E-2</v>
      </c>
      <c r="CI27" s="16">
        <v>3.0045247683678999E-2</v>
      </c>
      <c r="CJ27" s="16">
        <v>9.7551872551859153E-2</v>
      </c>
      <c r="CK27" s="16">
        <v>3.1207909835011205E-2</v>
      </c>
      <c r="CL27" s="16">
        <v>5.2321871072349202E-2</v>
      </c>
      <c r="CM27" s="16">
        <v>2.7787678979271924E-2</v>
      </c>
      <c r="CN27" s="16">
        <v>7.3826202294584364E-2</v>
      </c>
      <c r="CO27" s="16">
        <v>9.7866965373517578E-2</v>
      </c>
      <c r="CP27" s="16">
        <v>3.3255777184048374E-2</v>
      </c>
      <c r="CQ27" s="16">
        <v>5.8038111280031668E-2</v>
      </c>
      <c r="CR27" s="16">
        <v>4.6501752072270808E-2</v>
      </c>
      <c r="CS27" s="16">
        <v>1.9537287219026922E-2</v>
      </c>
      <c r="CT27" s="16">
        <v>8.883906837819755E-2</v>
      </c>
      <c r="CU27" s="16">
        <v>1.8015692818854179E-2</v>
      </c>
      <c r="CV27" s="16">
        <v>7.3640510806502912E-2</v>
      </c>
      <c r="CW27" s="16">
        <v>8.218324143120348E-2</v>
      </c>
      <c r="CX27" s="16">
        <v>3.1820139252267898E-2</v>
      </c>
      <c r="CY27" s="16">
        <v>0.11395578478561696</v>
      </c>
      <c r="CZ27" s="16">
        <v>2.4453645066167429E-2</v>
      </c>
      <c r="DA27" s="16">
        <v>6.2491728806755797E-2</v>
      </c>
      <c r="DB27" s="16">
        <v>9.5209755084984082E-2</v>
      </c>
      <c r="DC27" s="16">
        <v>5.1379780480673931E-2</v>
      </c>
      <c r="DD27" s="16">
        <v>6.461265603715749E-2</v>
      </c>
      <c r="DE27" s="16">
        <v>6.713120890344626E-2</v>
      </c>
      <c r="DF27" s="16">
        <v>4.8041332530288972E-2</v>
      </c>
      <c r="DG27" s="16">
        <v>8.8929584046292809E-2</v>
      </c>
      <c r="DH27" s="16">
        <v>9.1627561266308777E-2</v>
      </c>
      <c r="DI27" s="16">
        <v>4.8977434476998205E-2</v>
      </c>
      <c r="DJ27" s="16">
        <v>4.0545768680809724E-2</v>
      </c>
      <c r="DK27" s="16">
        <v>4.3622729066813082E-2</v>
      </c>
      <c r="DL27" s="16">
        <v>2.8661484176201513E-2</v>
      </c>
      <c r="DM27" s="16">
        <v>3.5836734126212355E-2</v>
      </c>
      <c r="DN27" s="16">
        <v>1.9355107183320119E-2</v>
      </c>
    </row>
    <row r="28" spans="4:118" x14ac:dyDescent="0.2">
      <c r="D28" s="13">
        <v>20</v>
      </c>
      <c r="E28" s="14">
        <f>1-IFERROR(_xlfn.LOGNORM.DIST(D28,Parameter!$G$6,Parameter!$G$7,TRUE),0)</f>
        <v>5.9713579089909929E-2</v>
      </c>
      <c r="F28" s="15">
        <f t="shared" si="0"/>
        <v>0.11424002570480946</v>
      </c>
      <c r="G28" s="15">
        <f t="shared" si="1"/>
        <v>1.764575272352361E-2</v>
      </c>
      <c r="R28" s="14">
        <f ca="1">1-IFERROR(_xlfn.LOGNORM.DIST($D28,Parameter!$E$6,Parameter!$E$7,TRUE),0)</f>
        <v>5.9637007877985315E-2</v>
      </c>
      <c r="S28" s="16">
        <v>2.6169671856634436E-2</v>
      </c>
      <c r="T28" s="16">
        <v>2.7906508033987087E-2</v>
      </c>
      <c r="U28" s="16">
        <v>7.2939040483203321E-2</v>
      </c>
      <c r="V28" s="16">
        <v>0.10840668591361036</v>
      </c>
      <c r="W28" s="16">
        <v>4.2337288678828133E-2</v>
      </c>
      <c r="X28" s="16">
        <v>4.0020633570676756E-2</v>
      </c>
      <c r="Y28" s="16">
        <v>2.3138952783610223E-2</v>
      </c>
      <c r="Z28" s="16">
        <v>4.916150661877261E-2</v>
      </c>
      <c r="AA28" s="16">
        <v>8.537404584001651E-2</v>
      </c>
      <c r="AB28" s="16">
        <v>8.3073076159500436E-2</v>
      </c>
      <c r="AC28" s="16">
        <v>5.3040484471197025E-2</v>
      </c>
      <c r="AD28" s="16">
        <v>5.2986855943650712E-2</v>
      </c>
      <c r="AE28" s="16">
        <v>5.710300664227308E-2</v>
      </c>
      <c r="AF28" s="16">
        <v>7.3441154422654975E-2</v>
      </c>
      <c r="AG28" s="16">
        <v>6.0605406730596667E-2</v>
      </c>
      <c r="AH28" s="16">
        <v>6.9687454243019142E-2</v>
      </c>
      <c r="AI28" s="16">
        <v>2.7535520670079361E-2</v>
      </c>
      <c r="AJ28" s="16">
        <v>2.8351630608289713E-2</v>
      </c>
      <c r="AK28" s="16">
        <v>7.7668454360169004E-2</v>
      </c>
      <c r="AL28" s="16">
        <v>4.950443750268585E-2</v>
      </c>
      <c r="AM28" s="16">
        <v>1.9134359485470376E-2</v>
      </c>
      <c r="AN28" s="16">
        <v>0.11016227701927073</v>
      </c>
      <c r="AO28" s="16">
        <v>3.6440325470731394E-2</v>
      </c>
      <c r="AP28" s="16">
        <v>6.4273446726575756E-2</v>
      </c>
      <c r="AQ28" s="16">
        <v>5.4353129453016957E-2</v>
      </c>
      <c r="AR28" s="16">
        <v>4.9508495305830902E-2</v>
      </c>
      <c r="AS28" s="16">
        <v>5.8032420729795642E-2</v>
      </c>
      <c r="AT28" s="16">
        <v>8.2379460751091593E-2</v>
      </c>
      <c r="AU28" s="16">
        <v>0.10833923144904101</v>
      </c>
      <c r="AV28" s="16">
        <v>6.7297654893336278E-2</v>
      </c>
      <c r="AW28" s="16">
        <v>6.8987051557956591E-2</v>
      </c>
      <c r="AX28" s="16">
        <v>2.6813253400474357E-2</v>
      </c>
      <c r="AY28" s="16">
        <v>5.7430953772906856E-2</v>
      </c>
      <c r="AZ28" s="16">
        <v>5.2313489472594066E-2</v>
      </c>
      <c r="BA28" s="16">
        <v>8.3663008488204405E-2</v>
      </c>
      <c r="BB28" s="16">
        <v>4.4135953078045853E-2</v>
      </c>
      <c r="BC28" s="16">
        <v>8.0790979088709469E-2</v>
      </c>
      <c r="BD28" s="16">
        <v>4.2322397470056283E-2</v>
      </c>
      <c r="BE28" s="16">
        <v>7.3415820389953534E-2</v>
      </c>
      <c r="BF28" s="16">
        <v>2.2659291818265315E-2</v>
      </c>
      <c r="BG28" s="16">
        <v>8.2152717477770532E-2</v>
      </c>
      <c r="BH28" s="16">
        <v>6.9748800564816582E-2</v>
      </c>
      <c r="BI28" s="16">
        <v>6.1153962160183539E-2</v>
      </c>
      <c r="BJ28" s="16">
        <v>7.4689425535813925E-2</v>
      </c>
      <c r="BK28" s="16">
        <v>5.6127977700149656E-2</v>
      </c>
      <c r="BL28" s="16">
        <v>8.7242314589966119E-2</v>
      </c>
      <c r="BM28" s="16">
        <v>7.3756982418144212E-2</v>
      </c>
      <c r="BN28" s="16">
        <v>4.7618144432284404E-2</v>
      </c>
      <c r="BO28" s="16">
        <v>6.3894999318941714E-2</v>
      </c>
      <c r="BP28" s="16">
        <v>0.11725664577160855</v>
      </c>
      <c r="BQ28" s="16">
        <v>5.9489237016642438E-2</v>
      </c>
      <c r="BR28" s="16">
        <v>4.4971853912380788E-2</v>
      </c>
      <c r="BS28" s="16">
        <v>5.4603672690977878E-2</v>
      </c>
      <c r="BT28" s="16">
        <v>9.6990639476180029E-2</v>
      </c>
      <c r="BU28" s="16">
        <v>1.619360005949555E-2</v>
      </c>
      <c r="BV28" s="16">
        <v>0.13504548606853284</v>
      </c>
      <c r="BW28" s="16">
        <v>6.1206228533492224E-2</v>
      </c>
      <c r="BX28" s="16">
        <v>9.3468422678769314E-2</v>
      </c>
      <c r="BY28" s="16">
        <v>9.5359973259620534E-2</v>
      </c>
      <c r="BZ28" s="16">
        <v>4.7909341710536069E-2</v>
      </c>
      <c r="CA28" s="16">
        <v>6.6699360373321248E-3</v>
      </c>
      <c r="CB28" s="16">
        <v>0.13757657212146079</v>
      </c>
      <c r="CC28" s="16">
        <v>6.7849361987371792E-2</v>
      </c>
      <c r="CD28" s="16">
        <v>8.5803722734117627E-2</v>
      </c>
      <c r="CE28" s="16">
        <v>6.7119946272753861E-2</v>
      </c>
      <c r="CF28" s="16">
        <v>5.3994044839435706E-2</v>
      </c>
      <c r="CG28" s="16">
        <v>6.0210568887187788E-2</v>
      </c>
      <c r="CH28" s="16">
        <v>2.065358783314708E-2</v>
      </c>
      <c r="CI28" s="16">
        <v>2.8909634863517386E-2</v>
      </c>
      <c r="CJ28" s="16">
        <v>9.4879926320463714E-2</v>
      </c>
      <c r="CK28" s="16">
        <v>2.977210959896015E-2</v>
      </c>
      <c r="CL28" s="16">
        <v>5.0273632234269394E-2</v>
      </c>
      <c r="CM28" s="16">
        <v>2.6573569851725209E-2</v>
      </c>
      <c r="CN28" s="16">
        <v>7.1646371302534484E-2</v>
      </c>
      <c r="CO28" s="16">
        <v>9.5107346063244891E-2</v>
      </c>
      <c r="CP28" s="16">
        <v>3.17412569452451E-2</v>
      </c>
      <c r="CQ28" s="16">
        <v>5.6015886734600229E-2</v>
      </c>
      <c r="CR28" s="16">
        <v>4.4759612466303E-2</v>
      </c>
      <c r="CS28" s="16">
        <v>1.8549027252813488E-2</v>
      </c>
      <c r="CT28" s="16">
        <v>8.5522266309937311E-2</v>
      </c>
      <c r="CU28" s="16">
        <v>1.7032822311642715E-2</v>
      </c>
      <c r="CV28" s="16">
        <v>7.1437370444997539E-2</v>
      </c>
      <c r="CW28" s="16">
        <v>7.9748690913208908E-2</v>
      </c>
      <c r="CX28" s="16">
        <v>3.0586622854961054E-2</v>
      </c>
      <c r="CY28" s="16">
        <v>0.11090586668361058</v>
      </c>
      <c r="CZ28" s="16">
        <v>2.3141670865626796E-2</v>
      </c>
      <c r="DA28" s="16">
        <v>6.065841933709315E-2</v>
      </c>
      <c r="DB28" s="16">
        <v>9.1875418886762206E-2</v>
      </c>
      <c r="DC28" s="16">
        <v>4.9189443948557177E-2</v>
      </c>
      <c r="DD28" s="16">
        <v>6.1967228304128263E-2</v>
      </c>
      <c r="DE28" s="16">
        <v>6.4849814497361824E-2</v>
      </c>
      <c r="DF28" s="16">
        <v>4.6361983533295237E-2</v>
      </c>
      <c r="DG28" s="16">
        <v>8.6536590814649816E-2</v>
      </c>
      <c r="DH28" s="16">
        <v>8.8978085533745199E-2</v>
      </c>
      <c r="DI28" s="16">
        <v>4.7131583529466226E-2</v>
      </c>
      <c r="DJ28" s="16">
        <v>3.8823635147934965E-2</v>
      </c>
      <c r="DK28" s="16">
        <v>4.2026801864464391E-2</v>
      </c>
      <c r="DL28" s="16">
        <v>2.7481875386941801E-2</v>
      </c>
      <c r="DM28" s="16">
        <v>3.430456371327717E-2</v>
      </c>
      <c r="DN28" s="16">
        <v>1.8323202126128812E-2</v>
      </c>
    </row>
    <row r="29" spans="4:118" x14ac:dyDescent="0.2">
      <c r="D29" s="13">
        <v>21</v>
      </c>
      <c r="E29" s="14">
        <f>1-IFERROR(_xlfn.LOGNORM.DIST(D29,Parameter!$G$6,Parameter!$G$7,TRUE),0)</f>
        <v>5.7750012522600591E-2</v>
      </c>
      <c r="F29" s="15">
        <f t="shared" si="0"/>
        <v>0.11155951387595768</v>
      </c>
      <c r="G29" s="15">
        <f t="shared" si="1"/>
        <v>1.6732052860631411E-2</v>
      </c>
      <c r="R29" s="14">
        <f ca="1">1-IFERROR(_xlfn.LOGNORM.DIST($D29,Parameter!$E$6,Parameter!$E$7,TRUE),0)</f>
        <v>5.7565358040462367E-2</v>
      </c>
      <c r="S29" s="16">
        <v>2.5126164157330266E-2</v>
      </c>
      <c r="T29" s="16">
        <v>2.6714784709042871E-2</v>
      </c>
      <c r="U29" s="16">
        <v>7.0438284783232774E-2</v>
      </c>
      <c r="V29" s="16">
        <v>0.10565834492226001</v>
      </c>
      <c r="W29" s="16">
        <v>4.0868590685489425E-2</v>
      </c>
      <c r="X29" s="16">
        <v>3.8334866109198784E-2</v>
      </c>
      <c r="Y29" s="16">
        <v>2.2087223016290514E-2</v>
      </c>
      <c r="Z29" s="16">
        <v>4.7617640707965592E-2</v>
      </c>
      <c r="AA29" s="16">
        <v>8.303495983730147E-2</v>
      </c>
      <c r="AB29" s="16">
        <v>8.0361009898154645E-2</v>
      </c>
      <c r="AC29" s="16">
        <v>5.1201192359081826E-2</v>
      </c>
      <c r="AD29" s="16">
        <v>5.1167250523946661E-2</v>
      </c>
      <c r="AE29" s="16">
        <v>5.520581921448442E-2</v>
      </c>
      <c r="AF29" s="16">
        <v>7.1178375038483788E-2</v>
      </c>
      <c r="AG29" s="16">
        <v>5.806595023472505E-2</v>
      </c>
      <c r="AH29" s="16">
        <v>6.7734410185117722E-2</v>
      </c>
      <c r="AI29" s="16">
        <v>2.6391471090268626E-2</v>
      </c>
      <c r="AJ29" s="16">
        <v>2.7091076036748762E-2</v>
      </c>
      <c r="AK29" s="16">
        <v>7.5673611991891265E-2</v>
      </c>
      <c r="AL29" s="16">
        <v>4.7854126332984359E-2</v>
      </c>
      <c r="AM29" s="16">
        <v>1.8110407313687293E-2</v>
      </c>
      <c r="AN29" s="16">
        <v>0.10742617206625238</v>
      </c>
      <c r="AO29" s="16">
        <v>3.5024741829863149E-2</v>
      </c>
      <c r="AP29" s="16">
        <v>6.2469837500371717E-2</v>
      </c>
      <c r="AQ29" s="16">
        <v>5.2732606058087717E-2</v>
      </c>
      <c r="AR29" s="16">
        <v>4.7562624936930309E-2</v>
      </c>
      <c r="AS29" s="16">
        <v>5.6109976318988064E-2</v>
      </c>
      <c r="AT29" s="16">
        <v>8.0090417103190314E-2</v>
      </c>
      <c r="AU29" s="16">
        <v>0.1056202899820684</v>
      </c>
      <c r="AV29" s="16">
        <v>6.4993723010990156E-2</v>
      </c>
      <c r="AW29" s="16">
        <v>6.7133682640836301E-2</v>
      </c>
      <c r="AX29" s="16">
        <v>2.5609582615187421E-2</v>
      </c>
      <c r="AY29" s="16">
        <v>5.5224770145043456E-2</v>
      </c>
      <c r="AZ29" s="16">
        <v>5.0574476056353124E-2</v>
      </c>
      <c r="BA29" s="16">
        <v>8.0828966854337159E-2</v>
      </c>
      <c r="BB29" s="16">
        <v>4.2437751125537049E-2</v>
      </c>
      <c r="BC29" s="16">
        <v>7.8125837893042061E-2</v>
      </c>
      <c r="BD29" s="16">
        <v>4.0965474213053188E-2</v>
      </c>
      <c r="BE29" s="16">
        <v>7.1193061546933167E-2</v>
      </c>
      <c r="BF29" s="16">
        <v>2.1532007262426656E-2</v>
      </c>
      <c r="BG29" s="16">
        <v>7.9444848218314323E-2</v>
      </c>
      <c r="BH29" s="16">
        <v>6.771854612637529E-2</v>
      </c>
      <c r="BI29" s="16">
        <v>5.9325433618750201E-2</v>
      </c>
      <c r="BJ29" s="16">
        <v>7.2472151374337157E-2</v>
      </c>
      <c r="BK29" s="16">
        <v>5.4401187214991098E-2</v>
      </c>
      <c r="BL29" s="16">
        <v>8.4518354024090026E-2</v>
      </c>
      <c r="BM29" s="16">
        <v>7.1561510065964784E-2</v>
      </c>
      <c r="BN29" s="16">
        <v>4.5763549389146507E-2</v>
      </c>
      <c r="BO29" s="16">
        <v>6.1933861604060891E-2</v>
      </c>
      <c r="BP29" s="16">
        <v>0.11472621808061878</v>
      </c>
      <c r="BQ29" s="16">
        <v>5.7726834010232486E-2</v>
      </c>
      <c r="BR29" s="16">
        <v>4.3241892684616534E-2</v>
      </c>
      <c r="BS29" s="16">
        <v>5.2967555949482881E-2</v>
      </c>
      <c r="BT29" s="16">
        <v>9.405908256774298E-2</v>
      </c>
      <c r="BU29" s="16">
        <v>1.5307770797800657E-2</v>
      </c>
      <c r="BV29" s="16">
        <v>0.13222051597159135</v>
      </c>
      <c r="BW29" s="16">
        <v>5.9179988471908751E-2</v>
      </c>
      <c r="BX29" s="16">
        <v>9.0627211936431862E-2</v>
      </c>
      <c r="BY29" s="16">
        <v>9.2991629329717829E-2</v>
      </c>
      <c r="BZ29" s="16">
        <v>4.5964463736653305E-2</v>
      </c>
      <c r="CA29" s="16">
        <v>6.2090808318658874E-3</v>
      </c>
      <c r="CB29" s="16">
        <v>0.13426829731395418</v>
      </c>
      <c r="CC29" s="16">
        <v>6.5509706710118909E-2</v>
      </c>
      <c r="CD29" s="16">
        <v>8.3434712002562472E-2</v>
      </c>
      <c r="CE29" s="16">
        <v>6.5123646017395065E-2</v>
      </c>
      <c r="CF29" s="16">
        <v>5.2199645286286622E-2</v>
      </c>
      <c r="CG29" s="16">
        <v>5.8134832983065876E-2</v>
      </c>
      <c r="CH29" s="16">
        <v>1.9644642315459149E-2</v>
      </c>
      <c r="CI29" s="16">
        <v>2.786277367625023E-2</v>
      </c>
      <c r="CJ29" s="16">
        <v>9.2388782242577516E-2</v>
      </c>
      <c r="CK29" s="16">
        <v>2.8457662279782747E-2</v>
      </c>
      <c r="CL29" s="16">
        <v>4.8385149510858705E-2</v>
      </c>
      <c r="CM29" s="16">
        <v>2.5460153215572268E-2</v>
      </c>
      <c r="CN29" s="16">
        <v>6.9619066549671538E-2</v>
      </c>
      <c r="CO29" s="16">
        <v>9.253598765567328E-2</v>
      </c>
      <c r="CP29" s="16">
        <v>3.0353977030192825E-2</v>
      </c>
      <c r="CQ29" s="16">
        <v>5.4144317774111217E-2</v>
      </c>
      <c r="CR29" s="16">
        <v>4.3151638066855735E-2</v>
      </c>
      <c r="CS29" s="16">
        <v>1.7648815121757089E-2</v>
      </c>
      <c r="CT29" s="16">
        <v>8.2454219260829187E-2</v>
      </c>
      <c r="CU29" s="16">
        <v>1.6140818865752471E-2</v>
      </c>
      <c r="CV29" s="16">
        <v>6.9389026343123494E-2</v>
      </c>
      <c r="CW29" s="16">
        <v>7.7483950573251192E-2</v>
      </c>
      <c r="CX29" s="16">
        <v>2.9450315611976641E-2</v>
      </c>
      <c r="CY29" s="16">
        <v>0.10805947238659552</v>
      </c>
      <c r="CZ29" s="16">
        <v>2.1949223320215094E-2</v>
      </c>
      <c r="DA29" s="16">
        <v>5.8953876124038018E-2</v>
      </c>
      <c r="DB29" s="16">
        <v>8.8784812342937114E-2</v>
      </c>
      <c r="DC29" s="16">
        <v>4.7175824340846662E-2</v>
      </c>
      <c r="DD29" s="16">
        <v>5.9530074141765366E-2</v>
      </c>
      <c r="DE29" s="16">
        <v>6.273605649405134E-2</v>
      </c>
      <c r="DF29" s="16">
        <v>4.4808640711746728E-2</v>
      </c>
      <c r="DG29" s="16">
        <v>8.4305360639395976E-2</v>
      </c>
      <c r="DH29" s="16">
        <v>8.6511231325898552E-2</v>
      </c>
      <c r="DI29" s="16">
        <v>4.5427972267423344E-2</v>
      </c>
      <c r="DJ29" s="16">
        <v>3.7241291891945805E-2</v>
      </c>
      <c r="DK29" s="16">
        <v>4.0552937987925697E-2</v>
      </c>
      <c r="DL29" s="16">
        <v>2.6397670606340906E-2</v>
      </c>
      <c r="DM29" s="16">
        <v>3.2897530735180536E-2</v>
      </c>
      <c r="DN29" s="16">
        <v>1.7385522012866028E-2</v>
      </c>
    </row>
    <row r="30" spans="4:118" x14ac:dyDescent="0.2">
      <c r="D30" s="13">
        <v>22</v>
      </c>
      <c r="E30" s="14">
        <f>1-IFERROR(_xlfn.LOGNORM.DIST(D30,Parameter!$G$6,Parameter!$G$7,TRUE),0)</f>
        <v>5.5925435412943814E-2</v>
      </c>
      <c r="F30" s="15">
        <f t="shared" si="0"/>
        <v>0.10904627855389044</v>
      </c>
      <c r="G30" s="15">
        <f t="shared" si="1"/>
        <v>1.5898870854274431E-2</v>
      </c>
      <c r="R30" s="14">
        <f ca="1">1-IFERROR(_xlfn.LOGNORM.DIST($D30,Parameter!$E$6,Parameter!$E$7,TRUE),0)</f>
        <v>5.5643221453574476E-2</v>
      </c>
      <c r="S30" s="16">
        <v>2.4163912554281408E-2</v>
      </c>
      <c r="T30" s="16">
        <v>2.5618391706510923E-2</v>
      </c>
      <c r="U30" s="16">
        <v>6.8115780549425353E-2</v>
      </c>
      <c r="V30" s="16">
        <v>0.10308513493700655</v>
      </c>
      <c r="W30" s="16">
        <v>3.9506989173353269E-2</v>
      </c>
      <c r="X30" s="16">
        <v>3.6781894345484734E-2</v>
      </c>
      <c r="Y30" s="16">
        <v>2.1122292751085903E-2</v>
      </c>
      <c r="Z30" s="16">
        <v>4.6182011131007172E-2</v>
      </c>
      <c r="AA30" s="16">
        <v>8.0849912281783842E-2</v>
      </c>
      <c r="AB30" s="16">
        <v>7.7837953532872151E-2</v>
      </c>
      <c r="AC30" s="16">
        <v>4.9495093311884397E-2</v>
      </c>
      <c r="AD30" s="16">
        <v>4.9478954996437063E-2</v>
      </c>
      <c r="AE30" s="16">
        <v>5.3443611436173266E-2</v>
      </c>
      <c r="AF30" s="16">
        <v>6.907110267473815E-2</v>
      </c>
      <c r="AG30" s="16">
        <v>5.5723256112112596E-2</v>
      </c>
      <c r="AH30" s="16">
        <v>6.591187584584568E-2</v>
      </c>
      <c r="AI30" s="16">
        <v>2.5337920002688419E-2</v>
      </c>
      <c r="AJ30" s="16">
        <v>2.5933072337496199E-2</v>
      </c>
      <c r="AK30" s="16">
        <v>7.3808167310508654E-2</v>
      </c>
      <c r="AL30" s="16">
        <v>4.6321907860510936E-2</v>
      </c>
      <c r="AM30" s="16">
        <v>1.7177969289833173E-2</v>
      </c>
      <c r="AN30" s="16">
        <v>0.10486331511048752</v>
      </c>
      <c r="AO30" s="16">
        <v>3.3717363068050288E-2</v>
      </c>
      <c r="AP30" s="16">
        <v>6.0787134259659314E-2</v>
      </c>
      <c r="AQ30" s="16">
        <v>5.1223415145231543E-2</v>
      </c>
      <c r="AR30" s="16">
        <v>4.5764817010508274E-2</v>
      </c>
      <c r="AS30" s="16">
        <v>5.4324094461086769E-2</v>
      </c>
      <c r="AT30" s="16">
        <v>7.7952973659010105E-2</v>
      </c>
      <c r="AU30" s="16">
        <v>0.10307413450643121</v>
      </c>
      <c r="AV30" s="16">
        <v>6.2854461935195172E-2</v>
      </c>
      <c r="AW30" s="16">
        <v>6.540263293251003E-2</v>
      </c>
      <c r="AX30" s="16">
        <v>2.4504377551542889E-2</v>
      </c>
      <c r="AY30" s="16">
        <v>5.3184105686918781E-2</v>
      </c>
      <c r="AZ30" s="16">
        <v>4.8959566221297712E-2</v>
      </c>
      <c r="BA30" s="16">
        <v>7.8194871796387178E-2</v>
      </c>
      <c r="BB30" s="16">
        <v>4.0868164583386934E-2</v>
      </c>
      <c r="BC30" s="16">
        <v>7.5647324291743923E-2</v>
      </c>
      <c r="BD30" s="16">
        <v>3.9704759810027856E-2</v>
      </c>
      <c r="BE30" s="16">
        <v>6.912219604402392E-2</v>
      </c>
      <c r="BF30" s="16">
        <v>2.0501682868950599E-2</v>
      </c>
      <c r="BG30" s="16">
        <v>7.6926404494067846E-2</v>
      </c>
      <c r="BH30" s="16">
        <v>6.5825564304419437E-2</v>
      </c>
      <c r="BI30" s="16">
        <v>5.7622175096280759E-2</v>
      </c>
      <c r="BJ30" s="16">
        <v>7.0405343639737827E-2</v>
      </c>
      <c r="BK30" s="16">
        <v>5.2794141799540006E-2</v>
      </c>
      <c r="BL30" s="16">
        <v>8.1981034291612631E-2</v>
      </c>
      <c r="BM30" s="16">
        <v>6.9515224494982375E-2</v>
      </c>
      <c r="BN30" s="16">
        <v>4.4049747827624386E-2</v>
      </c>
      <c r="BO30" s="16">
        <v>6.0108029045226719E-2</v>
      </c>
      <c r="BP30" s="16">
        <v>0.11234994277622479</v>
      </c>
      <c r="BQ30" s="16">
        <v>5.6084919996410187E-2</v>
      </c>
      <c r="BR30" s="16">
        <v>4.1642865130682383E-2</v>
      </c>
      <c r="BS30" s="16">
        <v>5.1444009916718492E-2</v>
      </c>
      <c r="BT30" s="16">
        <v>9.1325310325277131E-2</v>
      </c>
      <c r="BU30" s="16">
        <v>1.450224014168322E-2</v>
      </c>
      <c r="BV30" s="16">
        <v>0.1295651785102897</v>
      </c>
      <c r="BW30" s="16">
        <v>5.7297385060200101E-2</v>
      </c>
      <c r="BX30" s="16">
        <v>8.7978383113837766E-2</v>
      </c>
      <c r="BY30" s="16">
        <v>9.0774244310601659E-2</v>
      </c>
      <c r="BZ30" s="16">
        <v>4.4169649812160205E-2</v>
      </c>
      <c r="CA30" s="16">
        <v>5.7961649371480739E-3</v>
      </c>
      <c r="CB30" s="16">
        <v>0.13116522460495528</v>
      </c>
      <c r="CC30" s="16">
        <v>6.3337649819299902E-2</v>
      </c>
      <c r="CD30" s="16">
        <v>8.1222035011228377E-2</v>
      </c>
      <c r="CE30" s="16">
        <v>6.3263438842006803E-2</v>
      </c>
      <c r="CF30" s="16">
        <v>5.053316077559411E-2</v>
      </c>
      <c r="CG30" s="16">
        <v>5.6208446519318445E-2</v>
      </c>
      <c r="CH30" s="16">
        <v>1.8721926613416318E-2</v>
      </c>
      <c r="CI30" s="16">
        <v>2.6894221830617959E-2</v>
      </c>
      <c r="CJ30" s="16">
        <v>9.0058939758137502E-2</v>
      </c>
      <c r="CK30" s="16">
        <v>2.7249696945406243E-2</v>
      </c>
      <c r="CL30" s="16">
        <v>4.6637792849661519E-2</v>
      </c>
      <c r="CM30" s="16">
        <v>2.4435194414094918E-2</v>
      </c>
      <c r="CN30" s="16">
        <v>6.772749892234331E-2</v>
      </c>
      <c r="CO30" s="16">
        <v>9.0132515731287444E-2</v>
      </c>
      <c r="CP30" s="16">
        <v>2.907840913158477E-2</v>
      </c>
      <c r="CQ30" s="16">
        <v>5.2406254572301636E-2</v>
      </c>
      <c r="CR30" s="16">
        <v>4.1662249944047103E-2</v>
      </c>
      <c r="CS30" s="16">
        <v>1.6825479302693735E-2</v>
      </c>
      <c r="CT30" s="16">
        <v>7.960680460705627E-2</v>
      </c>
      <c r="CU30" s="16">
        <v>1.5327899584113958E-2</v>
      </c>
      <c r="CV30" s="16">
        <v>6.7478406501290999E-2</v>
      </c>
      <c r="CW30" s="16">
        <v>7.5370393319546203E-2</v>
      </c>
      <c r="CX30" s="16">
        <v>2.8399737978879624E-2</v>
      </c>
      <c r="CY30" s="16">
        <v>0.10539486020288946</v>
      </c>
      <c r="CZ30" s="16">
        <v>2.0860992186356953E-2</v>
      </c>
      <c r="DA30" s="16">
        <v>5.7363862366699547E-2</v>
      </c>
      <c r="DB30" s="16">
        <v>8.591074557543954E-2</v>
      </c>
      <c r="DC30" s="16">
        <v>4.5317958953194237E-2</v>
      </c>
      <c r="DD30" s="16">
        <v>5.7276904910488757E-2</v>
      </c>
      <c r="DE30" s="16">
        <v>6.0771027216341089E-2</v>
      </c>
      <c r="DF30" s="16">
        <v>4.3366866965876882E-2</v>
      </c>
      <c r="DG30" s="16">
        <v>8.2218420801886904E-2</v>
      </c>
      <c r="DH30" s="16">
        <v>8.4207116602082133E-2</v>
      </c>
      <c r="DI30" s="16">
        <v>4.3850092866158485E-2</v>
      </c>
      <c r="DJ30" s="16">
        <v>3.57820334159481E-2</v>
      </c>
      <c r="DK30" s="16">
        <v>3.9186998813936724E-2</v>
      </c>
      <c r="DL30" s="16">
        <v>2.5397435394646006E-2</v>
      </c>
      <c r="DM30" s="16">
        <v>3.1600604447108438E-2</v>
      </c>
      <c r="DN30" s="16">
        <v>1.6529944363399163E-2</v>
      </c>
    </row>
    <row r="31" spans="4:118" x14ac:dyDescent="0.2">
      <c r="D31" s="13">
        <v>23</v>
      </c>
      <c r="E31" s="14">
        <f>1-IFERROR(_xlfn.LOGNORM.DIST(D31,Parameter!$G$6,Parameter!$G$7,TRUE),0)</f>
        <v>5.4224760919228898E-2</v>
      </c>
      <c r="F31" s="15">
        <f t="shared" si="0"/>
        <v>0.10668337512966809</v>
      </c>
      <c r="G31" s="15">
        <f t="shared" si="1"/>
        <v>1.513622742195939E-2</v>
      </c>
      <c r="R31" s="14">
        <f ca="1">1-IFERROR(_xlfn.LOGNORM.DIST($D31,Parameter!$E$6,Parameter!$E$7,TRUE),0)</f>
        <v>5.3854217328460297E-2</v>
      </c>
      <c r="S31" s="16">
        <v>2.3273552048603152E-2</v>
      </c>
      <c r="T31" s="16">
        <v>2.4606191617835615E-2</v>
      </c>
      <c r="U31" s="16">
        <v>6.5952195356693277E-2</v>
      </c>
      <c r="V31" s="16">
        <v>0.10066914427734708</v>
      </c>
      <c r="W31" s="16">
        <v>3.8240624812791224E-2</v>
      </c>
      <c r="X31" s="16">
        <v>3.5346410956402896E-2</v>
      </c>
      <c r="Y31" s="16">
        <v>2.0233824267928524E-2</v>
      </c>
      <c r="Z31" s="16">
        <v>4.4842887879884219E-2</v>
      </c>
      <c r="AA31" s="16">
        <v>7.8802839036123506E-2</v>
      </c>
      <c r="AB31" s="16">
        <v>7.5483680740633163E-2</v>
      </c>
      <c r="AC31" s="16">
        <v>4.7907539601637072E-2</v>
      </c>
      <c r="AD31" s="16">
        <v>4.7907552949388754E-2</v>
      </c>
      <c r="AE31" s="16">
        <v>5.1801684222238853E-2</v>
      </c>
      <c r="AF31" s="16">
        <v>6.7102754682434207E-2</v>
      </c>
      <c r="AG31" s="16">
        <v>5.3555024752686586E-2</v>
      </c>
      <c r="AH31" s="16">
        <v>6.4206099284078944E-2</v>
      </c>
      <c r="AI31" s="16">
        <v>2.4364355675269067E-2</v>
      </c>
      <c r="AJ31" s="16">
        <v>2.4865532418517411E-2</v>
      </c>
      <c r="AK31" s="16">
        <v>7.205869364595785E-2</v>
      </c>
      <c r="AL31" s="16">
        <v>4.4894856134062078E-2</v>
      </c>
      <c r="AM31" s="16">
        <v>1.6325623881062179E-2</v>
      </c>
      <c r="AN31" s="16">
        <v>0.10245604057834712</v>
      </c>
      <c r="AO31" s="16">
        <v>3.2505890503856993E-2</v>
      </c>
      <c r="AP31" s="16">
        <v>5.9212561807822084E-2</v>
      </c>
      <c r="AQ31" s="16">
        <v>4.9813625874970513E-2</v>
      </c>
      <c r="AR31" s="16">
        <v>4.4098365826243602E-2</v>
      </c>
      <c r="AS31" s="16">
        <v>5.2659919053551607E-2</v>
      </c>
      <c r="AT31" s="16">
        <v>7.5951269259601273E-2</v>
      </c>
      <c r="AU31" s="16">
        <v>0.10068311291920706</v>
      </c>
      <c r="AV31" s="16">
        <v>6.0861957086508545E-2</v>
      </c>
      <c r="AW31" s="16">
        <v>6.3781085269662974E-2</v>
      </c>
      <c r="AX31" s="16">
        <v>2.3485989194176993E-2</v>
      </c>
      <c r="AY31" s="16">
        <v>5.1290469518772142E-2</v>
      </c>
      <c r="AZ31" s="16">
        <v>4.7455205654561405E-2</v>
      </c>
      <c r="BA31" s="16">
        <v>7.5739213335705879E-2</v>
      </c>
      <c r="BB31" s="16">
        <v>3.9412686258890384E-2</v>
      </c>
      <c r="BC31" s="16">
        <v>7.3335410064720885E-2</v>
      </c>
      <c r="BD31" s="16">
        <v>3.8529748964923671E-2</v>
      </c>
      <c r="BE31" s="16">
        <v>6.7187068475709766E-2</v>
      </c>
      <c r="BF31" s="16">
        <v>1.9556501673507865E-2</v>
      </c>
      <c r="BG31" s="16">
        <v>7.4577075757814804E-2</v>
      </c>
      <c r="BH31" s="16">
        <v>6.4055312034877243E-2</v>
      </c>
      <c r="BI31" s="16">
        <v>5.6030803793144623E-2</v>
      </c>
      <c r="BJ31" s="16">
        <v>6.8473054995666582E-2</v>
      </c>
      <c r="BK31" s="16">
        <v>5.1293957481966856E-2</v>
      </c>
      <c r="BL31" s="16">
        <v>7.9610557188165454E-2</v>
      </c>
      <c r="BM31" s="16">
        <v>6.7602300432405893E-2</v>
      </c>
      <c r="BN31" s="16">
        <v>4.2460860921589072E-2</v>
      </c>
      <c r="BO31" s="16">
        <v>5.8403009201848377E-2</v>
      </c>
      <c r="BP31" s="16">
        <v>0.1101123714476675</v>
      </c>
      <c r="BQ31" s="16">
        <v>5.4550630089698071E-2</v>
      </c>
      <c r="BR31" s="16">
        <v>4.0160012146972734E-2</v>
      </c>
      <c r="BS31" s="16">
        <v>5.0020963227009885E-2</v>
      </c>
      <c r="BT31" s="16">
        <v>8.8768541189830796E-2</v>
      </c>
      <c r="BU31" s="16">
        <v>1.3766883766168081E-2</v>
      </c>
      <c r="BV31" s="16">
        <v>0.12706262663320089</v>
      </c>
      <c r="BW31" s="16">
        <v>5.5542823101552119E-2</v>
      </c>
      <c r="BX31" s="16">
        <v>8.5501670603135405E-2</v>
      </c>
      <c r="BY31" s="16">
        <v>8.8692332866275203E-2</v>
      </c>
      <c r="BZ31" s="16">
        <v>4.2507839341628273E-2</v>
      </c>
      <c r="CA31" s="16">
        <v>5.4245618431301157E-3</v>
      </c>
      <c r="CB31" s="16">
        <v>0.12824672968123307</v>
      </c>
      <c r="CC31" s="16">
        <v>6.1314942386903493E-2</v>
      </c>
      <c r="CD31" s="16">
        <v>7.9149374928831229E-2</v>
      </c>
      <c r="CE31" s="16">
        <v>6.1524841702388589E-2</v>
      </c>
      <c r="CF31" s="16">
        <v>4.8980635317089294E-2</v>
      </c>
      <c r="CG31" s="16">
        <v>5.4415073656318813E-2</v>
      </c>
      <c r="CH31" s="16">
        <v>1.7874956232747041E-2</v>
      </c>
      <c r="CI31" s="16">
        <v>2.5995152745863059E-2</v>
      </c>
      <c r="CJ31" s="16">
        <v>8.7873738185240802E-2</v>
      </c>
      <c r="CK31" s="16">
        <v>2.6135700260639272E-2</v>
      </c>
      <c r="CL31" s="16">
        <v>4.5015785589822555E-2</v>
      </c>
      <c r="CM31" s="16">
        <v>2.3488390429948103E-2</v>
      </c>
      <c r="CN31" s="16">
        <v>6.5957359524160042E-2</v>
      </c>
      <c r="CO31" s="16">
        <v>8.7879528060678669E-2</v>
      </c>
      <c r="CP31" s="16">
        <v>2.7901479167681376E-2</v>
      </c>
      <c r="CQ31" s="16">
        <v>5.0787135402694417E-2</v>
      </c>
      <c r="CR31" s="16">
        <v>4.0278252511140034E-2</v>
      </c>
      <c r="CS31" s="16">
        <v>1.6069664813591067E-2</v>
      </c>
      <c r="CT31" s="16">
        <v>7.6956099466167771E-2</v>
      </c>
      <c r="CU31" s="16">
        <v>1.4584225115596539E-2</v>
      </c>
      <c r="CV31" s="16">
        <v>6.5690963679564396E-2</v>
      </c>
      <c r="CW31" s="16">
        <v>7.3392135185277541E-2</v>
      </c>
      <c r="CX31" s="16">
        <v>2.7425189898271807E-2</v>
      </c>
      <c r="CY31" s="16">
        <v>0.10289343183082678</v>
      </c>
      <c r="CZ31" s="16">
        <v>1.9864166519714455E-2</v>
      </c>
      <c r="DA31" s="16">
        <v>5.587625306392463E-2</v>
      </c>
      <c r="DB31" s="16">
        <v>8.3230056902332095E-2</v>
      </c>
      <c r="DC31" s="16">
        <v>4.3598127410640397E-2</v>
      </c>
      <c r="DD31" s="16">
        <v>5.5187140562919179E-2</v>
      </c>
      <c r="DE31" s="16">
        <v>5.8938652911096012E-2</v>
      </c>
      <c r="DF31" s="16">
        <v>4.2024416117577124E-2</v>
      </c>
      <c r="DG31" s="16">
        <v>8.0260848139589558E-2</v>
      </c>
      <c r="DH31" s="16">
        <v>8.2048771388927633E-2</v>
      </c>
      <c r="DI31" s="16">
        <v>4.2383960848807467E-2</v>
      </c>
      <c r="DJ31" s="16">
        <v>3.4431756643836464E-2</v>
      </c>
      <c r="DK31" s="16">
        <v>3.791700688171018E-2</v>
      </c>
      <c r="DL31" s="16">
        <v>2.4471525179298848E-2</v>
      </c>
      <c r="DM31" s="16">
        <v>3.0401105606116419E-2</v>
      </c>
      <c r="DN31" s="16">
        <v>1.5746335234255171E-2</v>
      </c>
    </row>
    <row r="32" spans="4:118" x14ac:dyDescent="0.2">
      <c r="D32" s="13">
        <v>24</v>
      </c>
      <c r="E32" s="14">
        <f>1-IFERROR(_xlfn.LOGNORM.DIST(D32,Parameter!$G$6,Parameter!$G$7,TRUE),0)</f>
        <v>5.2635078916070444E-2</v>
      </c>
      <c r="F32" s="15">
        <f t="shared" si="0"/>
        <v>0.10445619582872182</v>
      </c>
      <c r="G32" s="15">
        <f t="shared" si="1"/>
        <v>1.4435719948233542E-2</v>
      </c>
      <c r="R32" s="14">
        <f ca="1">1-IFERROR(_xlfn.LOGNORM.DIST($D32,Parameter!$E$6,Parameter!$E$7,TRUE),0)</f>
        <v>5.2184340587397626E-2</v>
      </c>
      <c r="S32" s="16">
        <v>2.2447127658094201E-2</v>
      </c>
      <c r="T32" s="16">
        <v>2.3668737076753876E-2</v>
      </c>
      <c r="U32" s="16">
        <v>6.3930977201876127E-2</v>
      </c>
      <c r="V32" s="16">
        <v>9.8394945180048321E-2</v>
      </c>
      <c r="W32" s="16">
        <v>3.7059374932798428E-2</v>
      </c>
      <c r="X32" s="16">
        <v>3.4015404742564703E-2</v>
      </c>
      <c r="Y32" s="16">
        <v>1.9413069580310194E-2</v>
      </c>
      <c r="Z32" s="16">
        <v>4.3590234995701582E-2</v>
      </c>
      <c r="AA32" s="16">
        <v>7.687993382296876E-2</v>
      </c>
      <c r="AB32" s="16">
        <v>7.3280847676386762E-2</v>
      </c>
      <c r="AC32" s="16">
        <v>4.6426015297952983E-2</v>
      </c>
      <c r="AD32" s="16">
        <v>4.6440724125880073E-2</v>
      </c>
      <c r="AE32" s="16">
        <v>5.0267464179680865E-2</v>
      </c>
      <c r="AF32" s="16">
        <v>6.5259111718340757E-2</v>
      </c>
      <c r="AG32" s="16">
        <v>5.1542249804660933E-2</v>
      </c>
      <c r="AH32" s="16">
        <v>6.2605276836300572E-2</v>
      </c>
      <c r="AI32" s="16">
        <v>2.3461856015265625E-2</v>
      </c>
      <c r="AJ32" s="16">
        <v>2.3878212936146559E-2</v>
      </c>
      <c r="AK32" s="16">
        <v>7.0413648330381995E-2</v>
      </c>
      <c r="AL32" s="16">
        <v>4.3561922648538864E-2</v>
      </c>
      <c r="AM32" s="16">
        <v>1.5543760753180536E-2</v>
      </c>
      <c r="AN32" s="16">
        <v>0.10018912837870098</v>
      </c>
      <c r="AO32" s="16">
        <v>3.1379856854836907E-2</v>
      </c>
      <c r="AP32" s="16">
        <v>5.7735159057016761E-2</v>
      </c>
      <c r="AQ32" s="16">
        <v>4.8493017844707276E-2</v>
      </c>
      <c r="AR32" s="16">
        <v>4.2549034566591315E-2</v>
      </c>
      <c r="AS32" s="16">
        <v>5.110474075982907E-2</v>
      </c>
      <c r="AT32" s="16">
        <v>7.4071676939305275E-2</v>
      </c>
      <c r="AU32" s="16">
        <v>9.8432019700222417E-2</v>
      </c>
      <c r="AV32" s="16">
        <v>5.9000877802679375E-2</v>
      </c>
      <c r="AW32" s="16">
        <v>6.2258032843790612E-2</v>
      </c>
      <c r="AX32" s="16">
        <v>2.2544550381076611E-2</v>
      </c>
      <c r="AY32" s="16">
        <v>4.9528082841320153E-2</v>
      </c>
      <c r="AZ32" s="16">
        <v>4.6049805245319653E-2</v>
      </c>
      <c r="BA32" s="16">
        <v>7.344355470060826E-2</v>
      </c>
      <c r="BB32" s="16">
        <v>3.8058955482676127E-2</v>
      </c>
      <c r="BC32" s="16">
        <v>7.1172926791724156E-2</v>
      </c>
      <c r="BD32" s="16">
        <v>3.7431462061321419E-2</v>
      </c>
      <c r="BE32" s="16">
        <v>6.537382264392344E-2</v>
      </c>
      <c r="BF32" s="16">
        <v>1.8686490299815728E-2</v>
      </c>
      <c r="BG32" s="16">
        <v>7.2379449410837404E-2</v>
      </c>
      <c r="BH32" s="16">
        <v>6.2395312792144053E-2</v>
      </c>
      <c r="BI32" s="16">
        <v>5.4539850067081841E-2</v>
      </c>
      <c r="BJ32" s="16">
        <v>6.6661602886048277E-2</v>
      </c>
      <c r="BK32" s="16">
        <v>4.9889601115334137E-2</v>
      </c>
      <c r="BL32" s="16">
        <v>7.738993098697744E-2</v>
      </c>
      <c r="BM32" s="16">
        <v>6.5809161445194331E-2</v>
      </c>
      <c r="BN32" s="16">
        <v>4.0983357104239837E-2</v>
      </c>
      <c r="BO32" s="16">
        <v>5.6806383514501402E-2</v>
      </c>
      <c r="BP32" s="16">
        <v>0.10800017378461579</v>
      </c>
      <c r="BQ32" s="16">
        <v>5.3112938422094746E-2</v>
      </c>
      <c r="BR32" s="16">
        <v>3.8780757159264656E-2</v>
      </c>
      <c r="BS32" s="16">
        <v>4.8688075679374165E-2</v>
      </c>
      <c r="BT32" s="16">
        <v>8.6370919818127945E-2</v>
      </c>
      <c r="BU32" s="16">
        <v>1.3093195484368714E-2</v>
      </c>
      <c r="BV32" s="16">
        <v>0.1246983082009494</v>
      </c>
      <c r="BW32" s="16">
        <v>5.3902957128528106E-2</v>
      </c>
      <c r="BX32" s="16">
        <v>8.3179667963222514E-2</v>
      </c>
      <c r="BY32" s="16">
        <v>8.6732564257771649E-2</v>
      </c>
      <c r="BZ32" s="16">
        <v>4.096450499557247E-2</v>
      </c>
      <c r="CA32" s="16">
        <v>5.0887770681984357E-3</v>
      </c>
      <c r="CB32" s="16">
        <v>0.12549501210870539</v>
      </c>
      <c r="CC32" s="16">
        <v>5.942596854383031E-2</v>
      </c>
      <c r="CD32" s="16">
        <v>7.7202709145058113E-2</v>
      </c>
      <c r="CE32" s="16">
        <v>5.9895435556273635E-2</v>
      </c>
      <c r="CF32" s="16">
        <v>4.7530134506758359E-2</v>
      </c>
      <c r="CG32" s="16">
        <v>5.274074529299777E-2</v>
      </c>
      <c r="CH32" s="16">
        <v>1.7094881304970722E-2</v>
      </c>
      <c r="CI32" s="16">
        <v>2.5158049892528123E-2</v>
      </c>
      <c r="CJ32" s="16">
        <v>8.5818843490545471E-2</v>
      </c>
      <c r="CK32" s="16">
        <v>2.5105063381247961E-2</v>
      </c>
      <c r="CL32" s="16">
        <v>4.3505670052544465E-2</v>
      </c>
      <c r="CM32" s="16">
        <v>2.2610999377446039E-2</v>
      </c>
      <c r="CN32" s="16">
        <v>6.4296366542665906E-2</v>
      </c>
      <c r="CO32" s="16">
        <v>8.5762056974130307E-2</v>
      </c>
      <c r="CP32" s="16">
        <v>2.6812096758195958E-2</v>
      </c>
      <c r="CQ32" s="16">
        <v>4.9274506701451504E-2</v>
      </c>
      <c r="CR32" s="16">
        <v>3.8988387041832606E-2</v>
      </c>
      <c r="CS32" s="16">
        <v>1.537347717496973E-2</v>
      </c>
      <c r="CT32" s="16">
        <v>7.4481610641949136E-2</v>
      </c>
      <c r="CU32" s="16">
        <v>1.3901514864227305E-2</v>
      </c>
      <c r="CV32" s="16">
        <v>6.4014213813142096E-2</v>
      </c>
      <c r="CW32" s="16">
        <v>7.1535535552558205E-2</v>
      </c>
      <c r="CX32" s="16">
        <v>2.6518413832691268E-2</v>
      </c>
      <c r="CY32" s="16">
        <v>0.10053916756168124</v>
      </c>
      <c r="CZ32" s="16">
        <v>1.8947944254031568E-2</v>
      </c>
      <c r="DA32" s="16">
        <v>5.4480647776211533E-2</v>
      </c>
      <c r="DB32" s="16">
        <v>8.0722878067405635E-2</v>
      </c>
      <c r="DC32" s="16">
        <v>4.2001240712915777E-2</v>
      </c>
      <c r="DD32" s="16">
        <v>5.3243217995901704E-2</v>
      </c>
      <c r="DE32" s="16">
        <v>5.7225171056029422E-2</v>
      </c>
      <c r="DF32" s="16">
        <v>4.0770824656573779E-2</v>
      </c>
      <c r="DG32" s="16">
        <v>7.8419807360690874E-2</v>
      </c>
      <c r="DH32" s="16">
        <v>8.0021609453925335E-2</v>
      </c>
      <c r="DI32" s="16">
        <v>4.1017642803441889E-2</v>
      </c>
      <c r="DJ32" s="16">
        <v>3.3178467292710456E-2</v>
      </c>
      <c r="DK32" s="16">
        <v>3.6732741080097275E-2</v>
      </c>
      <c r="DL32" s="16">
        <v>2.3611743944596753E-2</v>
      </c>
      <c r="DM32" s="16">
        <v>2.9288258818548241E-2</v>
      </c>
      <c r="DN32" s="16">
        <v>1.5026157146345698E-2</v>
      </c>
    </row>
    <row r="33" spans="4:118" x14ac:dyDescent="0.2">
      <c r="D33" s="13">
        <v>25</v>
      </c>
      <c r="E33" s="14">
        <f>1-IFERROR(_xlfn.LOGNORM.DIST(D33,Parameter!$G$6,Parameter!$G$7,TRUE),0)</f>
        <v>5.1145269246385516E-2</v>
      </c>
      <c r="F33" s="15">
        <f t="shared" si="0"/>
        <v>0.10235206777002651</v>
      </c>
      <c r="G33" s="15">
        <f t="shared" si="1"/>
        <v>1.3790222930307686E-2</v>
      </c>
      <c r="R33" s="14">
        <f ca="1">1-IFERROR(_xlfn.LOGNORM.DIST($D33,Parameter!$E$6,Parameter!$E$7,TRUE),0)</f>
        <v>5.0621538428302415E-2</v>
      </c>
      <c r="S33" s="16">
        <v>2.1677835596022321E-2</v>
      </c>
      <c r="T33" s="16">
        <v>2.2797959030187331E-2</v>
      </c>
      <c r="U33" s="16">
        <v>6.2037862429036306E-2</v>
      </c>
      <c r="V33" s="16">
        <v>9.6249165026405126E-2</v>
      </c>
      <c r="W33" s="16">
        <v>3.5954541314057398E-2</v>
      </c>
      <c r="X33" s="16">
        <v>3.277774133111333E-2</v>
      </c>
      <c r="Y33" s="16">
        <v>1.8652574286009638E-2</v>
      </c>
      <c r="Z33" s="16">
        <v>4.24154089911154E-2</v>
      </c>
      <c r="AA33" s="16">
        <v>7.5069254515657491E-2</v>
      </c>
      <c r="AB33" s="16">
        <v>7.1214486282477729E-2</v>
      </c>
      <c r="AC33" s="16">
        <v>4.5039755108482016E-2</v>
      </c>
      <c r="AD33" s="16">
        <v>4.5067869852641884E-2</v>
      </c>
      <c r="AE33" s="16">
        <v>4.8830125251218548E-2</v>
      </c>
      <c r="AF33" s="16">
        <v>6.3527901697538525E-2</v>
      </c>
      <c r="AG33" s="16">
        <v>4.9668625180257275E-2</v>
      </c>
      <c r="AH33" s="16">
        <v>6.1099211204477588E-2</v>
      </c>
      <c r="AI33" s="16">
        <v>2.2622795999615142E-2</v>
      </c>
      <c r="AJ33" s="16">
        <v>2.29623730839148E-2</v>
      </c>
      <c r="AK33" s="16">
        <v>6.8863044259823369E-2</v>
      </c>
      <c r="AL33" s="16">
        <v>4.2313600915197203E-2</v>
      </c>
      <c r="AM33" s="16">
        <v>1.4824235984351009E-2</v>
      </c>
      <c r="AN33" s="16">
        <v>9.8049382245469219E-2</v>
      </c>
      <c r="AO33" s="16">
        <v>3.0330293115080731E-2</v>
      </c>
      <c r="AP33" s="16">
        <v>5.6345460030382544E-2</v>
      </c>
      <c r="AQ33" s="16">
        <v>4.7252778196851031E-2</v>
      </c>
      <c r="AR33" s="16">
        <v>4.1104609436284023E-2</v>
      </c>
      <c r="AS33" s="16">
        <v>4.9647615129924771E-2</v>
      </c>
      <c r="AT33" s="16">
        <v>7.2302413718118519E-2</v>
      </c>
      <c r="AU33" s="16">
        <v>9.6307673704471686E-2</v>
      </c>
      <c r="AV33" s="16">
        <v>5.7258018852221482E-2</v>
      </c>
      <c r="AW33" s="16">
        <v>6.08239620680735E-2</v>
      </c>
      <c r="AX33" s="16">
        <v>2.1671645328126932E-2</v>
      </c>
      <c r="AY33" s="16">
        <v>4.7883392129682401E-2</v>
      </c>
      <c r="AZ33" s="16">
        <v>4.4733390503269854E-2</v>
      </c>
      <c r="BA33" s="16">
        <v>7.1291991443587222E-2</v>
      </c>
      <c r="BB33" s="16">
        <v>3.6796369783745564E-2</v>
      </c>
      <c r="BC33" s="16">
        <v>6.9145062422778736E-2</v>
      </c>
      <c r="BD33" s="16">
        <v>3.6402172355611495E-2</v>
      </c>
      <c r="BE33" s="16">
        <v>6.3670497124882042E-2</v>
      </c>
      <c r="BF33" s="16">
        <v>1.7883172178289386E-2</v>
      </c>
      <c r="BG33" s="16">
        <v>7.0318500984191012E-2</v>
      </c>
      <c r="BH33" s="16">
        <v>6.0834793260407638E-2</v>
      </c>
      <c r="BI33" s="16">
        <v>5.3139419497815976E-2</v>
      </c>
      <c r="BJ33" s="16">
        <v>6.4959171720168851E-2</v>
      </c>
      <c r="BK33" s="16">
        <v>4.8571562268229673E-2</v>
      </c>
      <c r="BL33" s="16">
        <v>7.530447885463043E-2</v>
      </c>
      <c r="BM33" s="16">
        <v>6.4124084734887732E-2</v>
      </c>
      <c r="BN33" s="16">
        <v>3.9605627951690536E-2</v>
      </c>
      <c r="BO33" s="16">
        <v>5.53074408680998E-2</v>
      </c>
      <c r="BP33" s="16">
        <v>0.10600177453489745</v>
      </c>
      <c r="BQ33" s="16">
        <v>5.1762333255461979E-2</v>
      </c>
      <c r="BR33" s="16">
        <v>3.7494311487016319E-2</v>
      </c>
      <c r="BS33" s="16">
        <v>4.7436431617538188E-2</v>
      </c>
      <c r="BT33" s="16">
        <v>8.4117007124309029E-2</v>
      </c>
      <c r="BU33" s="16">
        <v>1.2473977256352353E-2</v>
      </c>
      <c r="BV33" s="16">
        <v>0.12245957461594803</v>
      </c>
      <c r="BW33" s="16">
        <v>5.236629180266783E-2</v>
      </c>
      <c r="BX33" s="16">
        <v>8.0997328856581952E-2</v>
      </c>
      <c r="BY33" s="16">
        <v>8.488338922058325E-2</v>
      </c>
      <c r="BZ33" s="16">
        <v>3.9527193764020141E-2</v>
      </c>
      <c r="CA33" s="16">
        <v>4.7842199619352321E-3</v>
      </c>
      <c r="CB33" s="16">
        <v>0.12289461271296753</v>
      </c>
      <c r="CC33" s="16">
        <v>5.7657278223318342E-2</v>
      </c>
      <c r="CD33" s="16">
        <v>7.5369909154855974E-2</v>
      </c>
      <c r="CE33" s="16">
        <v>5.8364501729142981E-2</v>
      </c>
      <c r="CF33" s="16">
        <v>4.617138517547803E-2</v>
      </c>
      <c r="CG33" s="16">
        <v>5.1173437530495081E-2</v>
      </c>
      <c r="CH33" s="16">
        <v>1.6374179065687833E-2</v>
      </c>
      <c r="CI33" s="16">
        <v>2.4376468725004097E-2</v>
      </c>
      <c r="CJ33" s="16">
        <v>8.3881844504580139E-2</v>
      </c>
      <c r="CK33" s="16">
        <v>2.4148730132322882E-2</v>
      </c>
      <c r="CL33" s="16">
        <v>4.2095890189663754E-2</v>
      </c>
      <c r="CM33" s="16">
        <v>2.1795552750075387E-2</v>
      </c>
      <c r="CN33" s="16">
        <v>6.2733909590016013E-2</v>
      </c>
      <c r="CO33" s="16">
        <v>8.3767146435602013E-2</v>
      </c>
      <c r="CP33" s="16">
        <v>2.5800789666441837E-2</v>
      </c>
      <c r="CQ33" s="16">
        <v>4.7857647517828728E-2</v>
      </c>
      <c r="CR33" s="16">
        <v>3.7782983076082077E-2</v>
      </c>
      <c r="CS33" s="16">
        <v>1.473020722889995E-2</v>
      </c>
      <c r="CT33" s="16">
        <v>7.2165670199130783E-2</v>
      </c>
      <c r="CU33" s="16">
        <v>1.3272750239979203E-2</v>
      </c>
      <c r="CV33" s="16">
        <v>6.2437373764331117E-2</v>
      </c>
      <c r="CW33" s="16">
        <v>6.9788804618797884E-2</v>
      </c>
      <c r="CX33" s="16">
        <v>2.5672332348539606E-2</v>
      </c>
      <c r="CY33" s="16">
        <v>9.8318181345695588E-2</v>
      </c>
      <c r="CZ33" s="16">
        <v>1.8103153117118409E-2</v>
      </c>
      <c r="DA33" s="16">
        <v>5.3168066959349169E-2</v>
      </c>
      <c r="DB33" s="16">
        <v>7.8372056945437696E-2</v>
      </c>
      <c r="DC33" s="16">
        <v>4.0514364630324651E-2</v>
      </c>
      <c r="DD33" s="16">
        <v>5.1430050205269362E-2</v>
      </c>
      <c r="DE33" s="16">
        <v>5.5618720850521886E-2</v>
      </c>
      <c r="DF33" s="16">
        <v>3.9597092659963251E-2</v>
      </c>
      <c r="DG33" s="16">
        <v>7.6684188001022613E-2</v>
      </c>
      <c r="DH33" s="16">
        <v>7.8113012961191997E-2</v>
      </c>
      <c r="DI33" s="16">
        <v>3.9740887552276671E-2</v>
      </c>
      <c r="DJ33" s="16">
        <v>3.2011895452796479E-2</v>
      </c>
      <c r="DK33" s="16">
        <v>3.5625420609386449E-2</v>
      </c>
      <c r="DL33" s="16">
        <v>2.2811078834199083E-2</v>
      </c>
      <c r="DM33" s="16">
        <v>2.8252844235689967E-2</v>
      </c>
      <c r="DN33" s="16">
        <v>1.436216643014443E-2</v>
      </c>
    </row>
    <row r="34" spans="4:118" x14ac:dyDescent="0.2">
      <c r="D34" s="13">
        <v>26</v>
      </c>
      <c r="E34" s="14">
        <f>1-IFERROR(_xlfn.LOGNORM.DIST(D34,Parameter!$G$6,Parameter!$G$7,TRUE),0)</f>
        <v>4.9745695721753913E-2</v>
      </c>
      <c r="F34" s="15">
        <f t="shared" si="0"/>
        <v>0.10035993289313958</v>
      </c>
      <c r="G34" s="15">
        <f t="shared" si="1"/>
        <v>1.3193654305784905E-2</v>
      </c>
      <c r="R34" s="14">
        <f ca="1">1-IFERROR(_xlfn.LOGNORM.DIST($D34,Parameter!$E$6,Parameter!$E$7,TRUE),0)</f>
        <v>4.9155375474085772E-2</v>
      </c>
      <c r="S34" s="16">
        <v>2.095981991736251E-2</v>
      </c>
      <c r="T34" s="16">
        <v>2.1986922024324396E-2</v>
      </c>
      <c r="U34" s="16">
        <v>6.0260485972362776E-2</v>
      </c>
      <c r="V34" s="16">
        <v>9.4220145120101795E-2</v>
      </c>
      <c r="W34" s="16">
        <v>3.4918603800360604E-2</v>
      </c>
      <c r="X34" s="16">
        <v>3.1623833228044407E-2</v>
      </c>
      <c r="Y34" s="16">
        <v>1.7945945578709432E-2</v>
      </c>
      <c r="Z34" s="16">
        <v>4.1310920385398409E-2</v>
      </c>
      <c r="AA34" s="16">
        <v>7.3360410466298709E-2</v>
      </c>
      <c r="AB34" s="16">
        <v>6.9271602399000765E-2</v>
      </c>
      <c r="AC34" s="16">
        <v>4.3739443185939697E-2</v>
      </c>
      <c r="AD34" s="16">
        <v>4.3779817024386936E-2</v>
      </c>
      <c r="AE34" s="16">
        <v>4.748028946880456E-2</v>
      </c>
      <c r="AF34" s="16">
        <v>6.1898469981738868E-2</v>
      </c>
      <c r="AG34" s="16">
        <v>4.7920076834435443E-2</v>
      </c>
      <c r="AH34" s="16">
        <v>5.9679040298346142E-2</v>
      </c>
      <c r="AI34" s="16">
        <v>2.1840617909945959E-2</v>
      </c>
      <c r="AJ34" s="16">
        <v>2.2110506896554361E-2</v>
      </c>
      <c r="AK34" s="16">
        <v>6.7398189088608063E-2</v>
      </c>
      <c r="AL34" s="16">
        <v>4.1141661397277263E-2</v>
      </c>
      <c r="AM34" s="16">
        <v>1.416010318141514E-2</v>
      </c>
      <c r="AN34" s="16">
        <v>9.6025294110052561E-2</v>
      </c>
      <c r="AO34" s="16">
        <v>2.9349466273933866E-2</v>
      </c>
      <c r="AP34" s="16">
        <v>5.5035240990434775E-2</v>
      </c>
      <c r="AQ34" s="16">
        <v>4.6085261860240423E-2</v>
      </c>
      <c r="AR34" s="16">
        <v>3.9754547986814881E-2</v>
      </c>
      <c r="AS34" s="16">
        <v>4.8279060528525708E-2</v>
      </c>
      <c r="AT34" s="16">
        <v>7.0633230811021352E-2</v>
      </c>
      <c r="AU34" s="16">
        <v>9.4298582151896015E-2</v>
      </c>
      <c r="AV34" s="16">
        <v>5.5621937504777175E-2</v>
      </c>
      <c r="AW34" s="16">
        <v>5.9470600996299638E-2</v>
      </c>
      <c r="AX34" s="16">
        <v>2.0860050482640502E-2</v>
      </c>
      <c r="AY34" s="16">
        <v>4.6344684641738909E-2</v>
      </c>
      <c r="AZ34" s="16">
        <v>4.349732442602916E-2</v>
      </c>
      <c r="BA34" s="16">
        <v>6.9270722490644032E-2</v>
      </c>
      <c r="BB34" s="16">
        <v>3.5615778756292849E-2</v>
      </c>
      <c r="BC34" s="16">
        <v>6.7238962092506127E-2</v>
      </c>
      <c r="BD34" s="16">
        <v>3.5435190469790379E-2</v>
      </c>
      <c r="BE34" s="16">
        <v>6.2066704622777968E-2</v>
      </c>
      <c r="BF34" s="16">
        <v>1.7139296409402038E-2</v>
      </c>
      <c r="BG34" s="16">
        <v>6.8381189828018885E-2</v>
      </c>
      <c r="BH34" s="16">
        <v>5.9364395279581483E-2</v>
      </c>
      <c r="BI34" s="16">
        <v>5.1820925230716797E-2</v>
      </c>
      <c r="BJ34" s="16">
        <v>6.3355497391085702E-2</v>
      </c>
      <c r="BK34" s="16">
        <v>4.7331593544841288E-2</v>
      </c>
      <c r="BL34" s="16">
        <v>7.33414486886107E-2</v>
      </c>
      <c r="BM34" s="16">
        <v>6.2536887757624116E-2</v>
      </c>
      <c r="BN34" s="16">
        <v>3.8317653715058686E-2</v>
      </c>
      <c r="BO34" s="16">
        <v>5.3896887357590351E-2</v>
      </c>
      <c r="BP34" s="16">
        <v>0.1041070642424311</v>
      </c>
      <c r="BQ34" s="16">
        <v>5.049055967557603E-2</v>
      </c>
      <c r="BR34" s="16">
        <v>3.6291363196899518E-2</v>
      </c>
      <c r="BS34" s="16">
        <v>4.625829722716579E-2</v>
      </c>
      <c r="BT34" s="16">
        <v>8.1993375108475819E-2</v>
      </c>
      <c r="BU34" s="16">
        <v>1.1903097801714613E-2</v>
      </c>
      <c r="BV34" s="16">
        <v>0.12033536866408323</v>
      </c>
      <c r="BW34" s="16">
        <v>5.0922865715741561E-2</v>
      </c>
      <c r="BX34" s="16">
        <v>7.894157067001617E-2</v>
      </c>
      <c r="BY34" s="16">
        <v>8.3134743258019728E-2</v>
      </c>
      <c r="BZ34" s="16">
        <v>3.8185165179098979E-2</v>
      </c>
      <c r="CA34" s="16">
        <v>4.5070280967508536E-3</v>
      </c>
      <c r="CB34" s="16">
        <v>0.12043202870502001</v>
      </c>
      <c r="CC34" s="16">
        <v>5.5997217287496404E-2</v>
      </c>
      <c r="CD34" s="16">
        <v>7.3640422803679106E-2</v>
      </c>
      <c r="CE34" s="16">
        <v>5.69227337358168E-2</v>
      </c>
      <c r="CF34" s="16">
        <v>4.4895490480093225E-2</v>
      </c>
      <c r="CG34" s="16">
        <v>4.9702738277718761E-2</v>
      </c>
      <c r="CH34" s="16">
        <v>1.570641345203283E-2</v>
      </c>
      <c r="CI34" s="16">
        <v>2.3644849254618738E-2</v>
      </c>
      <c r="CJ34" s="16">
        <v>8.2051931942099698E-2</v>
      </c>
      <c r="CK34" s="16">
        <v>2.3258920875536271E-2</v>
      </c>
      <c r="CL34" s="16">
        <v>4.0776462193130136E-2</v>
      </c>
      <c r="CM34" s="16">
        <v>2.1035629512308862E-2</v>
      </c>
      <c r="CN34" s="16">
        <v>6.1260767620116452E-2</v>
      </c>
      <c r="CO34" s="16">
        <v>8.1883515894233927E-2</v>
      </c>
      <c r="CP34" s="16">
        <v>2.4859416726990657E-2</v>
      </c>
      <c r="CQ34" s="16">
        <v>4.6527272539566344E-2</v>
      </c>
      <c r="CR34" s="16">
        <v>3.665368335142738E-2</v>
      </c>
      <c r="CS34" s="16">
        <v>1.4134116111028661E-2</v>
      </c>
      <c r="CT34" s="16">
        <v>6.9992956147496344E-2</v>
      </c>
      <c r="CU34" s="16">
        <v>1.2691943277809536E-2</v>
      </c>
      <c r="CV34" s="16">
        <v>6.0951074049366838E-2</v>
      </c>
      <c r="CW34" s="16">
        <v>6.8141691871029586E-2</v>
      </c>
      <c r="CX34" s="16">
        <v>2.4880841550773858E-2</v>
      </c>
      <c r="CY34" s="16">
        <v>9.6218366664975408E-2</v>
      </c>
      <c r="CZ34" s="16">
        <v>1.7321954409168505E-2</v>
      </c>
      <c r="DA34" s="16">
        <v>5.1930711320462009E-2</v>
      </c>
      <c r="DB34" s="16">
        <v>7.6162699295930003E-2</v>
      </c>
      <c r="DC34" s="16">
        <v>3.9126343968283295E-2</v>
      </c>
      <c r="DD34" s="16">
        <v>4.9734598932934082E-2</v>
      </c>
      <c r="DE34" s="16">
        <v>5.4109019007348103E-2</v>
      </c>
      <c r="DF34" s="16">
        <v>3.8495431751549014E-2</v>
      </c>
      <c r="DG34" s="16">
        <v>7.5044315969596154E-2</v>
      </c>
      <c r="DH34" s="16">
        <v>7.6312002549798419E-2</v>
      </c>
      <c r="DI34" s="16">
        <v>3.8544835047476078E-2</v>
      </c>
      <c r="DJ34" s="16">
        <v>3.0923193008361771E-2</v>
      </c>
      <c r="DK34" s="16">
        <v>3.4587455613279916E-2</v>
      </c>
      <c r="DL34" s="16">
        <v>2.2063491545047054E-2</v>
      </c>
      <c r="DM34" s="16">
        <v>2.7286923632709459E-2</v>
      </c>
      <c r="DN34" s="16">
        <v>1.3748177020915575E-2</v>
      </c>
    </row>
    <row r="35" spans="4:118" x14ac:dyDescent="0.2">
      <c r="D35" s="13">
        <v>27</v>
      </c>
      <c r="E35" s="14">
        <f>1-IFERROR(_xlfn.LOGNORM.DIST(D35,Parameter!$G$6,Parameter!$G$7,TRUE),0)</f>
        <v>4.8427961671664188E-2</v>
      </c>
      <c r="F35" s="15">
        <f t="shared" si="0"/>
        <v>9.8470090666963231E-2</v>
      </c>
      <c r="G35" s="15">
        <f t="shared" si="1"/>
        <v>1.2640791328898745E-2</v>
      </c>
      <c r="R35" s="14">
        <f ca="1">1-IFERROR(_xlfn.LOGNORM.DIST($D35,Parameter!$E$6,Parameter!$E$7,TRUE),0)</f>
        <v>4.7776766416938399E-2</v>
      </c>
      <c r="S35" s="16">
        <v>2.0288011156123886E-2</v>
      </c>
      <c r="T35" s="16">
        <v>2.1229630190405357E-2</v>
      </c>
      <c r="U35" s="16">
        <v>5.8588069687553479E-2</v>
      </c>
      <c r="V35" s="16">
        <v>9.2297666567689562E-2</v>
      </c>
      <c r="W35" s="16">
        <v>3.3945023950221698E-2</v>
      </c>
      <c r="X35" s="16">
        <v>3.0545377636809867E-2</v>
      </c>
      <c r="Y35" s="16">
        <v>1.7287668701797099E-2</v>
      </c>
      <c r="Z35" s="16">
        <v>4.0270243309004972E-2</v>
      </c>
      <c r="AA35" s="16">
        <v>7.1744311819527007E-2</v>
      </c>
      <c r="AB35" s="16">
        <v>6.7440853963931846E-2</v>
      </c>
      <c r="AC35" s="16">
        <v>4.2516972814844678E-2</v>
      </c>
      <c r="AD35" s="16">
        <v>4.2568581898053459E-2</v>
      </c>
      <c r="AE35" s="16">
        <v>4.6209787984617501E-2</v>
      </c>
      <c r="AF35" s="16">
        <v>6.0361515420897405E-2</v>
      </c>
      <c r="AG35" s="16">
        <v>4.6284389520235503E-2</v>
      </c>
      <c r="AH35" s="16">
        <v>5.8337020121245087E-2</v>
      </c>
      <c r="AI35" s="16">
        <v>2.1109649097130201E-2</v>
      </c>
      <c r="AJ35" s="16">
        <v>2.1316131144302308E-2</v>
      </c>
      <c r="AK35" s="16">
        <v>6.6011476143400305E-2</v>
      </c>
      <c r="AL35" s="16">
        <v>4.0038940011430491E-2</v>
      </c>
      <c r="AM35" s="16">
        <v>1.3545401674429525E-2</v>
      </c>
      <c r="AN35" s="16">
        <v>9.4106774422285655E-2</v>
      </c>
      <c r="AO35" s="16">
        <v>2.8430670779212019E-2</v>
      </c>
      <c r="AP35" s="16">
        <v>5.3797318052218213E-2</v>
      </c>
      <c r="AQ35" s="16">
        <v>4.4983799924735446E-2</v>
      </c>
      <c r="AR35" s="16">
        <v>3.8489699035158864E-2</v>
      </c>
      <c r="AS35" s="16">
        <v>4.6990816879989183E-2</v>
      </c>
      <c r="AT35" s="16">
        <v>6.9055165329318213E-2</v>
      </c>
      <c r="AU35" s="16">
        <v>9.2394670683957902E-2</v>
      </c>
      <c r="AV35" s="16">
        <v>5.4082663482210358E-2</v>
      </c>
      <c r="AW35" s="16">
        <v>5.8190717823025651E-2</v>
      </c>
      <c r="AX35" s="16">
        <v>2.0103529288001409E-2</v>
      </c>
      <c r="AY35" s="16">
        <v>4.4901781806254815E-2</v>
      </c>
      <c r="AZ35" s="16">
        <v>4.2334086299498641E-2</v>
      </c>
      <c r="BA35" s="16">
        <v>6.7367706726934262E-2</v>
      </c>
      <c r="BB35" s="16">
        <v>3.4509240364561267E-2</v>
      </c>
      <c r="BC35" s="16">
        <v>6.5443408576052686E-2</v>
      </c>
      <c r="BD35" s="16">
        <v>3.4524692484195318E-2</v>
      </c>
      <c r="BE35" s="16">
        <v>6.0553375312683122E-2</v>
      </c>
      <c r="BF35" s="16">
        <v>1.6448623647370986E-2</v>
      </c>
      <c r="BG35" s="16">
        <v>6.6556135420533735E-2</v>
      </c>
      <c r="BH35" s="16">
        <v>5.7975945273567642E-2</v>
      </c>
      <c r="BI35" s="16">
        <v>5.0576873935333833E-2</v>
      </c>
      <c r="BJ35" s="16">
        <v>6.1841614687547453E-2</v>
      </c>
      <c r="BK35" s="16">
        <v>4.6162503071337735E-2</v>
      </c>
      <c r="BL35" s="16">
        <v>7.1489700506395693E-2</v>
      </c>
      <c r="BM35" s="16">
        <v>6.1038677343178138E-2</v>
      </c>
      <c r="BN35" s="16">
        <v>3.7110736983841819E-2</v>
      </c>
      <c r="BO35" s="16">
        <v>5.2566614191829619E-2</v>
      </c>
      <c r="BP35" s="16">
        <v>0.10230716658981576</v>
      </c>
      <c r="BQ35" s="16">
        <v>4.9290413838780744E-2</v>
      </c>
      <c r="BR35" s="16">
        <v>3.5163829388249579E-2</v>
      </c>
      <c r="BS35" s="16">
        <v>4.5146926563011891E-2</v>
      </c>
      <c r="BT35" s="16">
        <v>7.9988281892219737E-2</v>
      </c>
      <c r="BU35" s="16">
        <v>1.137530272485443E-2</v>
      </c>
      <c r="BV35" s="16">
        <v>0.11831597319164444</v>
      </c>
      <c r="BW35" s="16">
        <v>4.9563998769871609E-2</v>
      </c>
      <c r="BX35" s="16">
        <v>7.7000956705406631E-2</v>
      </c>
      <c r="BY35" s="16">
        <v>8.1477808453677247E-2</v>
      </c>
      <c r="BZ35" s="16">
        <v>3.6929103361199922E-2</v>
      </c>
      <c r="CA35" s="16">
        <v>4.2539307057164466E-3</v>
      </c>
      <c r="CB35" s="16">
        <v>0.11809540387951922</v>
      </c>
      <c r="CC35" s="16">
        <v>5.4435631929538486E-2</v>
      </c>
      <c r="CD35" s="16">
        <v>7.200501953080185E-2</v>
      </c>
      <c r="CE35" s="16">
        <v>5.5562006700743738E-2</v>
      </c>
      <c r="CF35" s="16">
        <v>4.3694702456894552E-2</v>
      </c>
      <c r="CG35" s="16">
        <v>4.8319581022573055E-2</v>
      </c>
      <c r="CH35" s="16">
        <v>1.5086045280817584E-2</v>
      </c>
      <c r="CI35" s="16">
        <v>2.2958367030365356E-2</v>
      </c>
      <c r="CJ35" s="16">
        <v>8.0319640818241278E-2</v>
      </c>
      <c r="CK35" s="16">
        <v>2.2428913633660508E-2</v>
      </c>
      <c r="CL35" s="16">
        <v>3.9538712000609766E-2</v>
      </c>
      <c r="CM35" s="16">
        <v>2.0325676979379592E-2</v>
      </c>
      <c r="CN35" s="16">
        <v>5.9868883050742339E-2</v>
      </c>
      <c r="CO35" s="16">
        <v>8.0101290567132111E-2</v>
      </c>
      <c r="CP35" s="16">
        <v>2.3980940178779053E-2</v>
      </c>
      <c r="CQ35" s="16">
        <v>4.5275294978004421E-2</v>
      </c>
      <c r="CR35" s="16">
        <v>3.5593224632004317E-2</v>
      </c>
      <c r="CS35" s="16">
        <v>1.3580265531345281E-2</v>
      </c>
      <c r="CT35" s="16">
        <v>6.795010874406493E-2</v>
      </c>
      <c r="CU35" s="16">
        <v>1.215395439805389E-2</v>
      </c>
      <c r="CV35" s="16">
        <v>5.9547128832662333E-2</v>
      </c>
      <c r="CW35" s="16">
        <v>6.6585236483727273E-2</v>
      </c>
      <c r="CX35" s="16">
        <v>2.4138646873387626E-2</v>
      </c>
      <c r="CY35" s="16">
        <v>9.4229112015389527E-2</v>
      </c>
      <c r="CZ35" s="16">
        <v>1.6597609214415332E-2</v>
      </c>
      <c r="DA35" s="16">
        <v>5.0761769273750423E-2</v>
      </c>
      <c r="DB35" s="16">
        <v>7.4081801577938977E-2</v>
      </c>
      <c r="DC35" s="16">
        <v>3.7827503477180224E-2</v>
      </c>
      <c r="DD35" s="16">
        <v>4.8145533748504943E-2</v>
      </c>
      <c r="DE35" s="16">
        <v>5.2687100604199233E-2</v>
      </c>
      <c r="DF35" s="16">
        <v>3.7459064073802506E-2</v>
      </c>
      <c r="DG35" s="16">
        <v>7.3491722168697815E-2</v>
      </c>
      <c r="DH35" s="16">
        <v>7.4608972767776005E-2</v>
      </c>
      <c r="DI35" s="16">
        <v>3.742178437411281E-2</v>
      </c>
      <c r="DJ35" s="16">
        <v>2.9904693138995908E-2</v>
      </c>
      <c r="DK35" s="16">
        <v>3.3612248490762386E-2</v>
      </c>
      <c r="DL35" s="16">
        <v>2.1363752731804797E-2</v>
      </c>
      <c r="DM35" s="16">
        <v>2.6383622861536282E-2</v>
      </c>
      <c r="DN35" s="16">
        <v>1.3178874252464112E-2</v>
      </c>
    </row>
    <row r="36" spans="4:118" x14ac:dyDescent="0.2">
      <c r="D36" s="13">
        <v>28</v>
      </c>
      <c r="E36" s="14">
        <f>1-IFERROR(_xlfn.LOGNORM.DIST(D36,Parameter!$G$6,Parameter!$G$7,TRUE),0)</f>
        <v>4.7184712926021999E-2</v>
      </c>
      <c r="F36" s="15">
        <f t="shared" si="0"/>
        <v>9.6673989467069593E-2</v>
      </c>
      <c r="G36" s="15">
        <f t="shared" si="1"/>
        <v>1.2127124138574702E-2</v>
      </c>
      <c r="R36" s="14">
        <f ca="1">1-IFERROR(_xlfn.LOGNORM.DIST($D36,Parameter!$E$6,Parameter!$E$7,TRUE),0)</f>
        <v>4.647776065669651E-2</v>
      </c>
      <c r="S36" s="16">
        <v>1.965799711176297E-2</v>
      </c>
      <c r="T36" s="16">
        <v>2.0520872020698189E-2</v>
      </c>
      <c r="U36" s="16">
        <v>5.7011170933012112E-2</v>
      </c>
      <c r="V36" s="16">
        <v>9.0472728148780601E-2</v>
      </c>
      <c r="W36" s="16">
        <v>3.3028087158082475E-2</v>
      </c>
      <c r="X36" s="16">
        <v>2.9535146247600452E-2</v>
      </c>
      <c r="Y36" s="16">
        <v>1.6672960392566494E-2</v>
      </c>
      <c r="Z36" s="16">
        <v>3.928766212762258E-2</v>
      </c>
      <c r="AA36" s="16">
        <v>7.0212966758659845E-2</v>
      </c>
      <c r="AB36" s="16">
        <v>6.5712291086309493E-2</v>
      </c>
      <c r="AC36" s="16">
        <v>4.1365252961104382E-2</v>
      </c>
      <c r="AD36" s="16">
        <v>4.142717992996614E-2</v>
      </c>
      <c r="AE36" s="16">
        <v>4.5011468538871613E-2</v>
      </c>
      <c r="AF36" s="16">
        <v>5.8908877235839263E-2</v>
      </c>
      <c r="AG36" s="16">
        <v>4.4750906631300214E-2</v>
      </c>
      <c r="AH36" s="16">
        <v>5.7066349390562765E-2</v>
      </c>
      <c r="AI36" s="16">
        <v>2.04249561224219E-2</v>
      </c>
      <c r="AJ36" s="16">
        <v>2.0573615738228024E-2</v>
      </c>
      <c r="AK36" s="16">
        <v>6.4696215322994743E-2</v>
      </c>
      <c r="AL36" s="16">
        <v>3.899916785991242E-2</v>
      </c>
      <c r="AM36" s="16">
        <v>1.2974988124409892E-2</v>
      </c>
      <c r="AN36" s="16">
        <v>9.2284933575756289E-2</v>
      </c>
      <c r="AO36" s="16">
        <v>2.7568061231837082E-2</v>
      </c>
      <c r="AP36" s="16">
        <v>5.2625383765571354E-2</v>
      </c>
      <c r="AQ36" s="16">
        <v>4.3942545120189025E-2</v>
      </c>
      <c r="AR36" s="16">
        <v>3.7302077608156514E-2</v>
      </c>
      <c r="AS36" s="16">
        <v>4.5775651271438567E-2</v>
      </c>
      <c r="AT36" s="16">
        <v>6.7560339518381696E-2</v>
      </c>
      <c r="AU36" s="16">
        <v>9.0587064608617762E-2</v>
      </c>
      <c r="AV36" s="16">
        <v>5.2631465106724673E-2</v>
      </c>
      <c r="AW36" s="16">
        <v>5.6977958067513601E-2</v>
      </c>
      <c r="AX36" s="16">
        <v>1.9396668156144492E-2</v>
      </c>
      <c r="AY36" s="16">
        <v>4.3545792545343631E-2</v>
      </c>
      <c r="AZ36" s="16">
        <v>4.1237093565499094E-2</v>
      </c>
      <c r="BA36" s="16">
        <v>6.5572385659211974E-2</v>
      </c>
      <c r="BB36" s="16">
        <v>3.3469825208352288E-2</v>
      </c>
      <c r="BC36" s="16">
        <v>6.3748564255074025E-2</v>
      </c>
      <c r="BD36" s="16">
        <v>3.3665581576684644E-2</v>
      </c>
      <c r="BE36" s="16">
        <v>5.9122549590182261E-2</v>
      </c>
      <c r="BF36" s="16">
        <v>1.580575545420837E-2</v>
      </c>
      <c r="BG36" s="16">
        <v>6.4833355951393612E-2</v>
      </c>
      <c r="BH36" s="16">
        <v>5.6662268057804277E-2</v>
      </c>
      <c r="BI36" s="16">
        <v>4.9400693118456518E-2</v>
      </c>
      <c r="BJ36" s="16">
        <v>6.0409653277625708E-2</v>
      </c>
      <c r="BK36" s="16">
        <v>4.5057987191584603E-2</v>
      </c>
      <c r="BL36" s="16">
        <v>6.973945378046742E-2</v>
      </c>
      <c r="BM36" s="16">
        <v>5.962164707637907E-2</v>
      </c>
      <c r="BN36" s="16">
        <v>3.5977288703291976E-2</v>
      </c>
      <c r="BO36" s="16">
        <v>5.1309510443489637E-2</v>
      </c>
      <c r="BP36" s="16">
        <v>0.10059424964088803</v>
      </c>
      <c r="BQ36" s="16">
        <v>4.8155576979429515E-2</v>
      </c>
      <c r="BR36" s="16">
        <v>3.4104657208562372E-2</v>
      </c>
      <c r="BS36" s="16">
        <v>4.4096405139728123E-2</v>
      </c>
      <c r="BT36" s="16">
        <v>7.809140881393617E-2</v>
      </c>
      <c r="BU36" s="16">
        <v>1.0886063764617648E-2</v>
      </c>
      <c r="BV36" s="16">
        <v>0.11639280701020449</v>
      </c>
      <c r="BW36" s="16">
        <v>4.8282088560631653E-2</v>
      </c>
      <c r="BX36" s="16">
        <v>7.5165439143556001E-2</v>
      </c>
      <c r="BY36" s="16">
        <v>7.9904820587578751E-2</v>
      </c>
      <c r="BZ36" s="16">
        <v>3.5750885774506358E-2</v>
      </c>
      <c r="CA36" s="16">
        <v>4.0221414550274392E-3</v>
      </c>
      <c r="CB36" s="16">
        <v>0.11587427709349385</v>
      </c>
      <c r="CC36" s="16">
        <v>5.2963630349521673E-2</v>
      </c>
      <c r="CD36" s="16">
        <v>7.0455584327706489E-2</v>
      </c>
      <c r="CE36" s="16">
        <v>5.4275191230930608E-2</v>
      </c>
      <c r="CF36" s="16">
        <v>4.2562238828220855E-2</v>
      </c>
      <c r="CG36" s="16">
        <v>4.701603034986368E-2</v>
      </c>
      <c r="CH36" s="16">
        <v>1.4508280979108501E-2</v>
      </c>
      <c r="CI36" s="16">
        <v>2.2312813578296398E-2</v>
      </c>
      <c r="CJ36" s="16">
        <v>7.8676641930839453E-2</v>
      </c>
      <c r="CK36" s="16">
        <v>2.1652869017854903E-2</v>
      </c>
      <c r="CL36" s="16">
        <v>3.8375064241691126E-2</v>
      </c>
      <c r="CM36" s="16">
        <v>1.9660867495171597E-2</v>
      </c>
      <c r="CN36" s="16">
        <v>5.8551179293509059E-2</v>
      </c>
      <c r="CO36" s="16">
        <v>7.8411783132710022E-2</v>
      </c>
      <c r="CP36" s="16">
        <v>2.3159243468254154E-2</v>
      </c>
      <c r="CQ36" s="16">
        <v>4.4094635560666506E-2</v>
      </c>
      <c r="CR36" s="16">
        <v>3.4595261507741948E-2</v>
      </c>
      <c r="CS36" s="16">
        <v>1.3064382573448885E-2</v>
      </c>
      <c r="CT36" s="16">
        <v>6.6025420665771106E-2</v>
      </c>
      <c r="CU36" s="16">
        <v>1.1654347533651355E-2</v>
      </c>
      <c r="CV36" s="16">
        <v>5.8218350144956799E-2</v>
      </c>
      <c r="CW36" s="16">
        <v>6.5111565571188801E-2</v>
      </c>
      <c r="CX36" s="16">
        <v>2.3441131353691969E-2</v>
      </c>
      <c r="CY36" s="16">
        <v>9.2341070327586205E-2</v>
      </c>
      <c r="CZ36" s="16">
        <v>1.5924292188090994E-2</v>
      </c>
      <c r="DA36" s="16">
        <v>4.9655261513054438E-2</v>
      </c>
      <c r="DB36" s="16">
        <v>7.2117954172926657E-2</v>
      </c>
      <c r="DC36" s="16">
        <v>3.6609407646658543E-2</v>
      </c>
      <c r="DD36" s="16">
        <v>4.6652957680967E-2</v>
      </c>
      <c r="DE36" s="16">
        <v>5.1345110104103031E-2</v>
      </c>
      <c r="DF36" s="16">
        <v>3.6482060509607117E-2</v>
      </c>
      <c r="DG36" s="16">
        <v>7.2018955265646944E-2</v>
      </c>
      <c r="DH36" s="16">
        <v>7.2995478055709606E-2</v>
      </c>
      <c r="DI36" s="16">
        <v>3.6365007201583532E-2</v>
      </c>
      <c r="DJ36" s="16">
        <v>2.8949717438788936E-2</v>
      </c>
      <c r="DK36" s="16">
        <v>3.2694034163342711E-2</v>
      </c>
      <c r="DL36" s="16">
        <v>2.0707309353508507E-2</v>
      </c>
      <c r="DM36" s="16">
        <v>2.5536957508800029E-2</v>
      </c>
      <c r="DN36" s="16">
        <v>1.2649666701911033E-2</v>
      </c>
    </row>
    <row r="37" spans="4:118" x14ac:dyDescent="0.2">
      <c r="D37" s="13">
        <v>29</v>
      </c>
      <c r="E37" s="14">
        <f>1-IFERROR(_xlfn.LOGNORM.DIST(D37,Parameter!$G$6,Parameter!$G$7,TRUE),0)</f>
        <v>4.6009477724713643E-2</v>
      </c>
      <c r="F37" s="15">
        <f t="shared" si="0"/>
        <v>9.496687410444736E-2</v>
      </c>
      <c r="G37" s="15">
        <f t="shared" si="1"/>
        <v>1.1648738301784256E-2</v>
      </c>
      <c r="R37" s="14">
        <f ca="1">1-IFERROR(_xlfn.LOGNORM.DIST($D37,Parameter!$E$6,Parameter!$E$7,TRUE),0)</f>
        <v>4.5251367399698372E-2</v>
      </c>
      <c r="S37" s="16">
        <v>1.9065918506192658E-2</v>
      </c>
      <c r="T37" s="16">
        <v>1.9856095131788098E-2</v>
      </c>
      <c r="U37" s="16">
        <v>5.5521478106227207E-2</v>
      </c>
      <c r="V37" s="16">
        <v>8.873736487000794E-2</v>
      </c>
      <c r="W37" s="16">
        <v>3.2162774654191706E-2</v>
      </c>
      <c r="X37" s="16">
        <v>2.8586815293398904E-2</v>
      </c>
      <c r="Y37" s="16">
        <v>1.6097650868090785E-2</v>
      </c>
      <c r="Z37" s="16">
        <v>3.8358146867914167E-2</v>
      </c>
      <c r="AA37" s="16">
        <v>6.8759316190865505E-2</v>
      </c>
      <c r="AB37" s="16">
        <v>6.4077144399370844E-2</v>
      </c>
      <c r="AC37" s="16">
        <v>4.0278051263284875E-2</v>
      </c>
      <c r="AD37" s="16">
        <v>4.0349471419904082E-2</v>
      </c>
      <c r="AE37" s="16">
        <v>4.3879039066519576E-2</v>
      </c>
      <c r="AF37" s="16">
        <v>5.7533361548966266E-2</v>
      </c>
      <c r="AG37" s="16">
        <v>4.3310286854248314E-2</v>
      </c>
      <c r="AH37" s="16">
        <v>5.5861026714393414E-2</v>
      </c>
      <c r="AI37" s="16">
        <v>1.9782227029337407E-2</v>
      </c>
      <c r="AJ37" s="16">
        <v>1.9878046982902853E-2</v>
      </c>
      <c r="AK37" s="16">
        <v>6.3446495224950161E-2</v>
      </c>
      <c r="AL37" s="16">
        <v>3.8016833024019814E-2</v>
      </c>
      <c r="AM37" s="16">
        <v>1.2444401498603042E-2</v>
      </c>
      <c r="AN37" s="16">
        <v>9.0551903330923778E-2</v>
      </c>
      <c r="AO37" s="16">
        <v>2.6756517038949434E-2</v>
      </c>
      <c r="AP37" s="16">
        <v>5.1513874083560007E-2</v>
      </c>
      <c r="AQ37" s="16">
        <v>4.2956346190284656E-2</v>
      </c>
      <c r="AR37" s="16">
        <v>3.6184682610312713E-2</v>
      </c>
      <c r="AS37" s="16">
        <v>4.4627200026903902E-2</v>
      </c>
      <c r="AT37" s="16">
        <v>6.6141797114352086E-2</v>
      </c>
      <c r="AU37" s="16">
        <v>8.8867910203076494E-2</v>
      </c>
      <c r="AV37" s="16">
        <v>5.1260659220211835E-2</v>
      </c>
      <c r="AW37" s="16">
        <v>5.5826711941186602E-2</v>
      </c>
      <c r="AX37" s="16">
        <v>1.8734744266281633E-2</v>
      </c>
      <c r="AY37" s="16">
        <v>4.2268913189345558E-2</v>
      </c>
      <c r="AZ37" s="16">
        <v>4.0200557189390085E-2</v>
      </c>
      <c r="BA37" s="16">
        <v>6.3875457634334221E-2</v>
      </c>
      <c r="BB37" s="16">
        <v>3.2491458006803975E-2</v>
      </c>
      <c r="BC37" s="16">
        <v>6.2145761067790239E-2</v>
      </c>
      <c r="BD37" s="16">
        <v>3.2853375738446489E-2</v>
      </c>
      <c r="BE37" s="16">
        <v>5.776720935449664E-2</v>
      </c>
      <c r="BF37" s="16">
        <v>1.5205997141322536E-2</v>
      </c>
      <c r="BG37" s="16">
        <v>6.3204055492013356E-2</v>
      </c>
      <c r="BH37" s="16">
        <v>5.5417035257434799E-2</v>
      </c>
      <c r="BI37" s="16">
        <v>4.8286590659798456E-2</v>
      </c>
      <c r="BJ37" s="16">
        <v>5.9052671583056604E-2</v>
      </c>
      <c r="BK37" s="16">
        <v>4.4012494472222441E-2</v>
      </c>
      <c r="BL37" s="16">
        <v>6.8082081575633335E-2</v>
      </c>
      <c r="BM37" s="16">
        <v>5.8278912324433829E-2</v>
      </c>
      <c r="BN37" s="16">
        <v>3.4910654833748E-2</v>
      </c>
      <c r="BO37" s="16">
        <v>5.0119310743522494E-2</v>
      </c>
      <c r="BP37" s="16">
        <v>9.896137147096884E-2</v>
      </c>
      <c r="BQ37" s="16">
        <v>4.7080480396028301E-2</v>
      </c>
      <c r="BR37" s="16">
        <v>3.3107662688693695E-2</v>
      </c>
      <c r="BS37" s="16">
        <v>4.3101522774567136E-2</v>
      </c>
      <c r="BT37" s="16">
        <v>7.6293646022880579E-2</v>
      </c>
      <c r="BU37" s="16">
        <v>1.043145807405732E-2</v>
      </c>
      <c r="BV37" s="16">
        <v>0.11455825783127449</v>
      </c>
      <c r="BW37" s="16">
        <v>4.7070444912976406E-2</v>
      </c>
      <c r="BX37" s="16">
        <v>7.3426149486251036E-2</v>
      </c>
      <c r="BY37" s="16">
        <v>7.8408911677873672E-2</v>
      </c>
      <c r="BZ37" s="16">
        <v>3.4643395990348824E-2</v>
      </c>
      <c r="CA37" s="16">
        <v>3.8092734956730601E-3</v>
      </c>
      <c r="CB37" s="16">
        <v>0.11375937643841283</v>
      </c>
      <c r="CC37" s="16">
        <v>5.1573389040739825E-2</v>
      </c>
      <c r="CD37" s="16">
        <v>6.8984949746540236E-2</v>
      </c>
      <c r="CE37" s="16">
        <v>5.3056001944195574E-2</v>
      </c>
      <c r="CF37" s="16">
        <v>4.1492134237500755E-2</v>
      </c>
      <c r="CG37" s="16">
        <v>4.5785107731944552E-2</v>
      </c>
      <c r="CH37" s="16">
        <v>1.3968951008211272E-2</v>
      </c>
      <c r="CI37" s="16">
        <v>2.170449967053234E-2</v>
      </c>
      <c r="CJ37" s="16">
        <v>7.7115571700030583E-2</v>
      </c>
      <c r="CK37" s="16">
        <v>2.0925689012971871E-2</v>
      </c>
      <c r="CL37" s="16">
        <v>3.7278871144222792E-2</v>
      </c>
      <c r="CM37" s="16">
        <v>1.9036982785380019E-2</v>
      </c>
      <c r="CN37" s="16">
        <v>5.7301412148180964E-2</v>
      </c>
      <c r="CO37" s="16">
        <v>7.6807315609875082E-2</v>
      </c>
      <c r="CP37" s="16">
        <v>2.2388984216968111E-2</v>
      </c>
      <c r="CQ37" s="16">
        <v>4.2979067400782056E-2</v>
      </c>
      <c r="CR37" s="16">
        <v>3.3654223565179442E-2</v>
      </c>
      <c r="CS37" s="16">
        <v>1.2582751069103892E-2</v>
      </c>
      <c r="CT37" s="16">
        <v>6.4208584820976466E-2</v>
      </c>
      <c r="CU37" s="16">
        <v>1.1189273971431324E-2</v>
      </c>
      <c r="CV37" s="16">
        <v>5.6958396598919436E-2</v>
      </c>
      <c r="CW37" s="16">
        <v>6.3713729795576324E-2</v>
      </c>
      <c r="CX37" s="16">
        <v>2.2784249077924867E-2</v>
      </c>
      <c r="CY37" s="16">
        <v>9.054597060259062E-2</v>
      </c>
      <c r="CZ37" s="16">
        <v>1.5296941975952105E-2</v>
      </c>
      <c r="DA37" s="16">
        <v>4.8605914517936721E-2</v>
      </c>
      <c r="DB37" s="16">
        <v>7.0261099589955078E-2</v>
      </c>
      <c r="DC37" s="16">
        <v>3.5464666200747064E-2</v>
      </c>
      <c r="DD37" s="16">
        <v>4.5248184608373543E-2</v>
      </c>
      <c r="DE37" s="16">
        <v>5.0076131454812378E-2</v>
      </c>
      <c r="DF37" s="16">
        <v>3.5559209413179471E-2</v>
      </c>
      <c r="DG37" s="16">
        <v>7.0619428963893838E-2</v>
      </c>
      <c r="DH37" s="16">
        <v>7.146405822164914E-2</v>
      </c>
      <c r="DI37" s="16">
        <v>3.5368596539295694E-2</v>
      </c>
      <c r="DJ37" s="16">
        <v>2.8052419936484663E-2</v>
      </c>
      <c r="DK37" s="16">
        <v>3.1827750593658277E-2</v>
      </c>
      <c r="DL37" s="16">
        <v>2.009017751377995E-2</v>
      </c>
      <c r="DM37" s="16">
        <v>2.4741692008791394E-2</v>
      </c>
      <c r="DN37" s="16">
        <v>1.2156567298490129E-2</v>
      </c>
    </row>
    <row r="38" spans="4:118" x14ac:dyDescent="0.2">
      <c r="D38" s="13">
        <v>30</v>
      </c>
      <c r="E38" s="14">
        <f>1-IFERROR(_xlfn.LOGNORM.DIST(D38,Parameter!$G$6,Parameter!$G$7,TRUE),0)</f>
        <v>4.4896535645417845E-2</v>
      </c>
      <c r="F38" s="15">
        <f t="shared" si="0"/>
        <v>9.3364062986415725E-2</v>
      </c>
      <c r="G38" s="15">
        <f t="shared" si="1"/>
        <v>1.120221984890224E-2</v>
      </c>
      <c r="R38" s="14">
        <f ca="1">1-IFERROR(_xlfn.LOGNORM.DIST($D38,Parameter!$E$6,Parameter!$E$7,TRUE),0)</f>
        <v>4.4091412538789898E-2</v>
      </c>
      <c r="S38" s="16">
        <v>1.8508384066081018E-2</v>
      </c>
      <c r="T38" s="16">
        <v>1.9231304433020902E-2</v>
      </c>
      <c r="U38" s="16">
        <v>5.4111643115328789E-2</v>
      </c>
      <c r="V38" s="16">
        <v>8.7084498649773301E-2</v>
      </c>
      <c r="W38" s="16">
        <v>3.1344658931239611E-2</v>
      </c>
      <c r="X38" s="16">
        <v>2.7694827101134023E-2</v>
      </c>
      <c r="Y38" s="16">
        <v>1.5558088046857765E-2</v>
      </c>
      <c r="Z38" s="16">
        <v>3.7477251263406175E-2</v>
      </c>
      <c r="AA38" s="16">
        <v>6.7377097947497577E-2</v>
      </c>
      <c r="AB38" s="16">
        <v>6.2527651436475873E-2</v>
      </c>
      <c r="AC38" s="16">
        <v>3.9249865629186531E-2</v>
      </c>
      <c r="AD38" s="16">
        <v>3.9330035264458107E-2</v>
      </c>
      <c r="AE38" s="16">
        <v>4.2806939693451063E-2</v>
      </c>
      <c r="AF38" s="16">
        <v>5.6228599123207768E-2</v>
      </c>
      <c r="AG38" s="16">
        <v>4.1954305390326185E-2</v>
      </c>
      <c r="AH38" s="16">
        <v>5.4715733402544986E-2</v>
      </c>
      <c r="AI38" s="16">
        <v>1.917767557895067E-2</v>
      </c>
      <c r="AJ38" s="16">
        <v>1.9225116453531976E-2</v>
      </c>
      <c r="AK38" s="16">
        <v>6.2257069886739402E-2</v>
      </c>
      <c r="AL38" s="16">
        <v>3.7087067524340434E-2</v>
      </c>
      <c r="AM38" s="16">
        <v>1.1949753941826069E-2</v>
      </c>
      <c r="AN38" s="16">
        <v>8.8900689832633439E-2</v>
      </c>
      <c r="AO38" s="16">
        <v>2.5991532074428614E-2</v>
      </c>
      <c r="AP38" s="16">
        <v>5.0457859247085346E-2</v>
      </c>
      <c r="AQ38" s="16">
        <v>4.2020644980441779E-2</v>
      </c>
      <c r="AR38" s="16">
        <v>3.5131347976279703E-2</v>
      </c>
      <c r="AS38" s="16">
        <v>4.35398394351173E-2</v>
      </c>
      <c r="AT38" s="16">
        <v>6.4793368955486264E-2</v>
      </c>
      <c r="AU38" s="16">
        <v>8.7230227653825487E-2</v>
      </c>
      <c r="AV38" s="16">
        <v>4.9963455515390276E-2</v>
      </c>
      <c r="AW38" s="16">
        <v>5.4732005486979873E-2</v>
      </c>
      <c r="AX38" s="16">
        <v>1.8113618180915392E-2</v>
      </c>
      <c r="AY38" s="16">
        <v>4.1064263952128588E-2</v>
      </c>
      <c r="AZ38" s="16">
        <v>3.9219363331809975E-2</v>
      </c>
      <c r="BA38" s="16">
        <v>6.2268692656705316E-2</v>
      </c>
      <c r="BB38" s="16">
        <v>3.1568788238061751E-2</v>
      </c>
      <c r="BC38" s="16">
        <v>6.0627328239173606E-2</v>
      </c>
      <c r="BD38" s="16">
        <v>3.2084115952478287E-2</v>
      </c>
      <c r="BE38" s="16">
        <v>5.6481139625709331E-2</v>
      </c>
      <c r="BF38" s="16">
        <v>1.4645246658154254E-2</v>
      </c>
      <c r="BG38" s="16">
        <v>6.1660449425615993E-2</v>
      </c>
      <c r="BH38" s="16">
        <v>5.4234640970568626E-2</v>
      </c>
      <c r="BI38" s="16">
        <v>4.7229439691032549E-2</v>
      </c>
      <c r="BJ38" s="16">
        <v>5.7764520488270965E-2</v>
      </c>
      <c r="BK38" s="16">
        <v>4.3021114316889819E-2</v>
      </c>
      <c r="BL38" s="16">
        <v>6.6509941565773834E-2</v>
      </c>
      <c r="BM38" s="16">
        <v>5.7004374903540489E-2</v>
      </c>
      <c r="BN38" s="16">
        <v>3.3904974858254056E-2</v>
      </c>
      <c r="BO38" s="16">
        <v>4.8990470460513302E-2</v>
      </c>
      <c r="BP38" s="16">
        <v>9.7402352982695062E-2</v>
      </c>
      <c r="BQ38" s="16">
        <v>4.6060194800901511E-2</v>
      </c>
      <c r="BR38" s="16">
        <v>3.216739920833489E-2</v>
      </c>
      <c r="BS38" s="16">
        <v>4.2157669424299327E-2</v>
      </c>
      <c r="BT38" s="16">
        <v>7.4586916324407726E-2</v>
      </c>
      <c r="BU38" s="16">
        <v>1.0008070775658462E-2</v>
      </c>
      <c r="BV38" s="16">
        <v>0.11280554450197267</v>
      </c>
      <c r="BW38" s="16">
        <v>4.5923154401327326E-2</v>
      </c>
      <c r="BX38" s="16">
        <v>7.1775226433340999E-2</v>
      </c>
      <c r="BY38" s="16">
        <v>7.6983980481198921E-2</v>
      </c>
      <c r="BZ38" s="16">
        <v>3.3600370924149581E-2</v>
      </c>
      <c r="CA38" s="16">
        <v>3.6132716066770154E-3</v>
      </c>
      <c r="CB38" s="16">
        <v>0.11174244956529245</v>
      </c>
      <c r="CC38" s="16">
        <v>5.0257994147885676E-2</v>
      </c>
      <c r="CD38" s="16">
        <v>6.7586757905173656E-2</v>
      </c>
      <c r="CE38" s="16">
        <v>5.1898873268120482E-2</v>
      </c>
      <c r="CF38" s="16">
        <v>4.047911852192787E-2</v>
      </c>
      <c r="CG38" s="16">
        <v>4.4620648956729458E-2</v>
      </c>
      <c r="CH38" s="16">
        <v>1.3464411379897179E-2</v>
      </c>
      <c r="CI38" s="16">
        <v>2.113017645637949E-2</v>
      </c>
      <c r="CJ38" s="16">
        <v>7.5629892271931065E-2</v>
      </c>
      <c r="CK38" s="16">
        <v>2.024290218516922E-2</v>
      </c>
      <c r="CL38" s="16">
        <v>3.6244272775603936E-2</v>
      </c>
      <c r="CM38" s="16">
        <v>1.8450319912346136E-2</v>
      </c>
      <c r="CN38" s="16">
        <v>5.6114047863372263E-2</v>
      </c>
      <c r="CO38" s="16">
        <v>7.528107294054498E-2</v>
      </c>
      <c r="CP38" s="16">
        <v>2.1665474644259719E-2</v>
      </c>
      <c r="CQ38" s="16">
        <v>4.1923089046245532E-2</v>
      </c>
      <c r="CR38" s="16">
        <v>3.2765198721271926E-2</v>
      </c>
      <c r="CS38" s="16">
        <v>1.2132123632084491E-2</v>
      </c>
      <c r="CT38" s="16">
        <v>6.2490487549568874E-2</v>
      </c>
      <c r="CU38" s="16">
        <v>1.0755378474025745E-2</v>
      </c>
      <c r="CV38" s="16">
        <v>5.5761649266904412E-2</v>
      </c>
      <c r="CW38" s="16">
        <v>6.2385568407132719E-2</v>
      </c>
      <c r="CX38" s="16">
        <v>2.2164438318857616E-2</v>
      </c>
      <c r="CY38" s="16">
        <v>8.8836462891026091E-2</v>
      </c>
      <c r="CZ38" s="16">
        <v>1.4711140113362497E-2</v>
      </c>
      <c r="DA38" s="16">
        <v>4.7609056826381835E-2</v>
      </c>
      <c r="DB38" s="16">
        <v>6.8502334003010312E-2</v>
      </c>
      <c r="DC38" s="16">
        <v>3.4386775396364033E-2</v>
      </c>
      <c r="DD38" s="16">
        <v>4.3923557277349534E-2</v>
      </c>
      <c r="DE38" s="16">
        <v>4.8874048914117729E-2</v>
      </c>
      <c r="DF38" s="16">
        <v>3.4685909280785521E-2</v>
      </c>
      <c r="DG38" s="16">
        <v>6.928729648242915E-2</v>
      </c>
      <c r="DH38" s="16">
        <v>7.0008095055010156E-2</v>
      </c>
      <c r="DI38" s="16">
        <v>3.4427343176315017E-2</v>
      </c>
      <c r="DJ38" s="16">
        <v>2.7207659983861099E-2</v>
      </c>
      <c r="DK38" s="16">
        <v>3.1008933019484597E-2</v>
      </c>
      <c r="DL38" s="16">
        <v>1.9508855219993015E-2</v>
      </c>
      <c r="DM38" s="16">
        <v>2.3993224909321986E-2</v>
      </c>
      <c r="DN38" s="16">
        <v>1.169609715797626E-2</v>
      </c>
    </row>
    <row r="39" spans="4:118" x14ac:dyDescent="0.2">
      <c r="D39" s="13">
        <v>31</v>
      </c>
      <c r="E39" s="14">
        <f>1-IFERROR(_xlfn.LOGNORM.DIST(D39,Parameter!$G$6,Parameter!$G$7,TRUE),0)</f>
        <v>4.3840809533401637E-2</v>
      </c>
      <c r="F39" s="15">
        <f t="shared" si="0"/>
        <v>9.1833027612821194E-2</v>
      </c>
      <c r="G39" s="15">
        <f t="shared" si="1"/>
        <v>1.0784577926441519E-2</v>
      </c>
      <c r="R39" s="14">
        <f ca="1">1-IFERROR(_xlfn.LOGNORM.DIST($D39,Parameter!$E$6,Parameter!$E$7,TRUE),0)</f>
        <v>4.2992420714314084E-2</v>
      </c>
      <c r="S39" s="16">
        <v>1.7982400912793794E-2</v>
      </c>
      <c r="T39" s="16">
        <v>1.8642978725583181E-2</v>
      </c>
      <c r="U39" s="16">
        <v>5.2775143154979665E-2</v>
      </c>
      <c r="V39" s="16">
        <v>8.5507814596243126E-2</v>
      </c>
      <c r="W39" s="16">
        <v>3.0569817700750179E-2</v>
      </c>
      <c r="X39" s="16">
        <v>2.6854276494057694E-2</v>
      </c>
      <c r="Y39" s="16">
        <v>1.5051059248833543E-2</v>
      </c>
      <c r="Z39" s="16">
        <v>3.6641028721413837E-2</v>
      </c>
      <c r="AA39" s="16">
        <v>6.6060734453562864E-2</v>
      </c>
      <c r="AB39" s="16">
        <v>6.1056913209354358E-2</v>
      </c>
      <c r="AC39" s="16">
        <v>3.8275818482795376E-2</v>
      </c>
      <c r="AD39" s="16">
        <v>3.8364064969816813E-2</v>
      </c>
      <c r="AE39" s="16">
        <v>4.1790237229109906E-2</v>
      </c>
      <c r="AF39" s="16">
        <v>5.4988927878637073E-2</v>
      </c>
      <c r="AG39" s="16">
        <v>4.0675690445391877E-2</v>
      </c>
      <c r="AH39" s="16">
        <v>5.3625736636946919E-2</v>
      </c>
      <c r="AI39" s="16">
        <v>1.8607962786323151E-2</v>
      </c>
      <c r="AJ39" s="16">
        <v>1.86110300410679E-2</v>
      </c>
      <c r="AK39" s="16">
        <v>6.1123265097244528E-2</v>
      </c>
      <c r="AL39" s="16">
        <v>3.6205554209093993E-2</v>
      </c>
      <c r="AM39" s="16">
        <v>1.1487641926788306E-2</v>
      </c>
      <c r="AN39" s="16">
        <v>8.7325051797864206E-2</v>
      </c>
      <c r="AO39" s="16">
        <v>2.5269124080679606E-2</v>
      </c>
      <c r="AP39" s="16">
        <v>4.9452953657101562E-2</v>
      </c>
      <c r="AQ39" s="16">
        <v>4.1131391537179041E-2</v>
      </c>
      <c r="AR39" s="16">
        <v>3.4136620296679965E-2</v>
      </c>
      <c r="AS39" s="16">
        <v>4.2508579185515649E-2</v>
      </c>
      <c r="AT39" s="16">
        <v>6.3509561849175333E-2</v>
      </c>
      <c r="AU39" s="16">
        <v>8.566778919764706E-2</v>
      </c>
      <c r="AV39" s="16">
        <v>4.8733828155076764E-2</v>
      </c>
      <c r="AW39" s="16">
        <v>5.3689410603537269E-2</v>
      </c>
      <c r="AX39" s="16">
        <v>1.7529645986503528E-2</v>
      </c>
      <c r="AY39" s="16">
        <v>3.9925754344374731E-2</v>
      </c>
      <c r="AZ39" s="16">
        <v>3.8288975855079066E-2</v>
      </c>
      <c r="BA39" s="16">
        <v>6.0744779450707553E-2</v>
      </c>
      <c r="BB39" s="16">
        <v>3.0697083819698268E-2</v>
      </c>
      <c r="BC39" s="16">
        <v>5.918645001330225E-2</v>
      </c>
      <c r="BD39" s="16">
        <v>3.1354290570697496E-2</v>
      </c>
      <c r="BE39" s="16">
        <v>5.5258814248226429E-2</v>
      </c>
      <c r="BF39" s="16">
        <v>1.4119903922369614E-2</v>
      </c>
      <c r="BG39" s="16">
        <v>6.0195620264037686E-2</v>
      </c>
      <c r="BH39" s="16">
        <v>5.3110099064713645E-2</v>
      </c>
      <c r="BI39" s="16">
        <v>4.6224683581238435E-2</v>
      </c>
      <c r="BJ39" s="16">
        <v>5.6539730744282535E-2</v>
      </c>
      <c r="BK39" s="16">
        <v>4.2079485092153202E-2</v>
      </c>
      <c r="BL39" s="16">
        <v>6.5016236360710411E-2</v>
      </c>
      <c r="BM39" s="16">
        <v>5.5792611283155713E-2</v>
      </c>
      <c r="BN39" s="16">
        <v>3.2955065466158007E-2</v>
      </c>
      <c r="BO39" s="16">
        <v>4.791806268575205E-2</v>
      </c>
      <c r="BP39" s="16">
        <v>9.5911672397782421E-2</v>
      </c>
      <c r="BQ39" s="16">
        <v>4.5090338997881618E-2</v>
      </c>
      <c r="BR39" s="16">
        <v>3.1279049379548618E-2</v>
      </c>
      <c r="BS39" s="16">
        <v>4.1260749255310425E-2</v>
      </c>
      <c r="BT39" s="16">
        <v>7.2964029452407764E-2</v>
      </c>
      <c r="BU39" s="16">
        <v>9.6129157204560833E-3</v>
      </c>
      <c r="BV39" s="16">
        <v>0.11112860262378232</v>
      </c>
      <c r="BW39" s="16">
        <v>4.4834968639216877E-2</v>
      </c>
      <c r="BX39" s="16">
        <v>7.020567352919671E-2</v>
      </c>
      <c r="BY39" s="16">
        <v>7.5624585248574072E-2</v>
      </c>
      <c r="BZ39" s="16">
        <v>3.2616275313653964E-2</v>
      </c>
      <c r="CA39" s="16">
        <v>3.4323575729782174E-3</v>
      </c>
      <c r="CB39" s="16">
        <v>0.10981612285732423</v>
      </c>
      <c r="CC39" s="16">
        <v>4.9011310636914773E-2</v>
      </c>
      <c r="CD39" s="16">
        <v>6.6255346343910726E-2</v>
      </c>
      <c r="CE39" s="16">
        <v>5.0798856885091781E-2</v>
      </c>
      <c r="CF39" s="16">
        <v>3.951851640416304E-2</v>
      </c>
      <c r="CG39" s="16">
        <v>4.3517186625640414E-2</v>
      </c>
      <c r="CH39" s="16">
        <v>1.2991463292898242E-2</v>
      </c>
      <c r="CI39" s="16">
        <v>2.0586970693210471E-2</v>
      </c>
      <c r="CJ39" s="16">
        <v>7.4213775706199914E-2</v>
      </c>
      <c r="CK39" s="16">
        <v>1.9600569692572956E-2</v>
      </c>
      <c r="CL39" s="16">
        <v>3.5266082070541271E-2</v>
      </c>
      <c r="CM39" s="16">
        <v>1.7897614241406123E-2</v>
      </c>
      <c r="CN39" s="16">
        <v>5.4984162377773926E-2</v>
      </c>
      <c r="CO39" s="16">
        <v>7.3826981798486346E-2</v>
      </c>
      <c r="CP39" s="16">
        <v>2.0984583616167174E-2</v>
      </c>
      <c r="CQ39" s="16">
        <v>4.0921819855262664E-2</v>
      </c>
      <c r="CR39" s="16">
        <v>3.1923837248973075E-2</v>
      </c>
      <c r="CS39" s="16">
        <v>1.170964989733736E-2</v>
      </c>
      <c r="CT39" s="16">
        <v>6.0863037870601322E-2</v>
      </c>
      <c r="CU39" s="16">
        <v>1.0349722847040055E-2</v>
      </c>
      <c r="CV39" s="16">
        <v>5.4623109130798264E-2</v>
      </c>
      <c r="CW39" s="16">
        <v>6.1121597674178019E-2</v>
      </c>
      <c r="CX39" s="16">
        <v>2.1578550215671788E-2</v>
      </c>
      <c r="CY39" s="16">
        <v>8.7205989834444386E-2</v>
      </c>
      <c r="CZ39" s="16">
        <v>1.416301226400507E-2</v>
      </c>
      <c r="DA39" s="16">
        <v>4.6660533377750557E-2</v>
      </c>
      <c r="DB39" s="16">
        <v>6.6833743230637621E-2</v>
      </c>
      <c r="DC39" s="16">
        <v>3.3369987616385544E-2</v>
      </c>
      <c r="DD39" s="16">
        <v>4.2672297493000722E-2</v>
      </c>
      <c r="DE39" s="16">
        <v>4.7733432243400764E-2</v>
      </c>
      <c r="DF39" s="16">
        <v>3.3858080371366839E-2</v>
      </c>
      <c r="DG39" s="16">
        <v>6.8017346678540647E-2</v>
      </c>
      <c r="DH39" s="16">
        <v>6.8621693705124387E-2</v>
      </c>
      <c r="DI39" s="16">
        <v>3.353663401995588E-2</v>
      </c>
      <c r="DJ39" s="16">
        <v>2.6410897927433008E-2</v>
      </c>
      <c r="DK39" s="16">
        <v>3.0233626943033887E-2</v>
      </c>
      <c r="DL39" s="16">
        <v>1.8960250844501925E-2</v>
      </c>
      <c r="DM39" s="16">
        <v>2.3287494763286953E-2</v>
      </c>
      <c r="DN39" s="16">
        <v>1.1265207224727347E-2</v>
      </c>
    </row>
    <row r="40" spans="4:118" x14ac:dyDescent="0.2">
      <c r="D40" s="13">
        <v>32</v>
      </c>
      <c r="E40" s="14">
        <f>1-IFERROR(_xlfn.LOGNORM.DIST(D40,Parameter!$G$6,Parameter!$G$7,TRUE),0)</f>
        <v>4.283777581199677E-2</v>
      </c>
      <c r="F40" s="15">
        <f t="shared" si="0"/>
        <v>9.0368512498609666E-2</v>
      </c>
      <c r="G40" s="15">
        <f t="shared" si="1"/>
        <v>1.0393181365109309E-2</v>
      </c>
      <c r="R40" s="14">
        <f ca="1">1-IFERROR(_xlfn.LOGNORM.DIST($D40,Parameter!$E$6,Parameter!$E$7,TRUE),0)</f>
        <v>4.1949517488044652E-2</v>
      </c>
      <c r="S40" s="16">
        <v>1.7485317115226384E-2</v>
      </c>
      <c r="T40" s="16">
        <v>1.8088001935251619E-2</v>
      </c>
      <c r="U40" s="16">
        <v>5.1506165918944413E-2</v>
      </c>
      <c r="V40" s="16">
        <v>8.400165783345237E-2</v>
      </c>
      <c r="W40" s="16">
        <v>2.983476262577156E-2</v>
      </c>
      <c r="X40" s="16">
        <v>2.606081696355067E-2</v>
      </c>
      <c r="Y40" s="16">
        <v>1.457372674896984E-2</v>
      </c>
      <c r="Z40" s="16">
        <v>3.5845962603724746E-2</v>
      </c>
      <c r="AA40" s="16">
        <v>6.4805239208384657E-2</v>
      </c>
      <c r="AB40" s="16">
        <v>5.9658774968471162E-2</v>
      </c>
      <c r="AC40" s="16">
        <v>3.7351569092065051E-2</v>
      </c>
      <c r="AD40" s="16">
        <v>3.7447282434769025E-2</v>
      </c>
      <c r="AE40" s="16">
        <v>4.0824537630272939E-2</v>
      </c>
      <c r="AF40" s="16">
        <v>5.3809295239486188E-2</v>
      </c>
      <c r="AG40" s="16">
        <v>3.9467987852530251E-2</v>
      </c>
      <c r="AH40" s="16">
        <v>5.2586808942398866E-2</v>
      </c>
      <c r="AI40" s="16">
        <v>1.8070132198421018E-2</v>
      </c>
      <c r="AJ40" s="16">
        <v>1.8032433002219461E-2</v>
      </c>
      <c r="AK40" s="16">
        <v>6.004090039326726E-2</v>
      </c>
      <c r="AL40" s="16">
        <v>3.5368449550844838E-2</v>
      </c>
      <c r="AM40" s="16">
        <v>1.1055073417980177E-2</v>
      </c>
      <c r="AN40" s="16">
        <v>8.5819398915326861E-2</v>
      </c>
      <c r="AO40" s="16">
        <v>2.4585759782583483E-2</v>
      </c>
      <c r="AP40" s="16">
        <v>4.8495240943407181E-2</v>
      </c>
      <c r="AQ40" s="16">
        <v>4.0284973605926755E-2</v>
      </c>
      <c r="AR40" s="16">
        <v>3.3195657544209167E-2</v>
      </c>
      <c r="AS40" s="16">
        <v>4.1528973946480474E-2</v>
      </c>
      <c r="AT40" s="16">
        <v>6.2285466074154194E-2</v>
      </c>
      <c r="AU40" s="16">
        <v>8.4175017496418869E-2</v>
      </c>
      <c r="AV40" s="16">
        <v>4.7566409204935933E-2</v>
      </c>
      <c r="AW40" s="16">
        <v>5.2694970192944113E-2</v>
      </c>
      <c r="AX40" s="16">
        <v>1.6979606922331802E-2</v>
      </c>
      <c r="AY40" s="16">
        <v>3.8847971676798654E-2</v>
      </c>
      <c r="AZ40" s="16">
        <v>3.7405355466250123E-2</v>
      </c>
      <c r="BA40" s="16">
        <v>5.9297198337503576E-2</v>
      </c>
      <c r="BB40" s="16">
        <v>2.9872143146052799E-2</v>
      </c>
      <c r="BC40" s="16">
        <v>5.7817047401813815E-2</v>
      </c>
      <c r="BD40" s="16">
        <v>3.0660772619033994E-2</v>
      </c>
      <c r="BE40" s="16">
        <v>5.4095300873377883E-2</v>
      </c>
      <c r="BF40" s="16">
        <v>1.3626796326331458E-2</v>
      </c>
      <c r="BG40" s="16">
        <v>5.8803397791331813E-2</v>
      </c>
      <c r="BH40" s="16">
        <v>5.2038957788925422E-2</v>
      </c>
      <c r="BI40" s="16">
        <v>4.5268257003116541E-2</v>
      </c>
      <c r="BJ40" s="16">
        <v>5.5373419342539809E-2</v>
      </c>
      <c r="BK40" s="16">
        <v>4.1183717849109347E-2</v>
      </c>
      <c r="BL40" s="16">
        <v>6.3594897313501875E-2</v>
      </c>
      <c r="BM40" s="16">
        <v>5.463877963281405E-2</v>
      </c>
      <c r="BN40" s="16">
        <v>3.2056324300336447E-2</v>
      </c>
      <c r="BO40" s="16">
        <v>4.6897692658172785E-2</v>
      </c>
      <c r="BP40" s="16">
        <v>9.4484377169198996E-2</v>
      </c>
      <c r="BQ40" s="16">
        <v>4.4167004017497735E-2</v>
      </c>
      <c r="BR40" s="16">
        <v>3.0438335589662247E-2</v>
      </c>
      <c r="BS40" s="16">
        <v>4.0407109289037235E-2</v>
      </c>
      <c r="BT40" s="16">
        <v>7.1418560737877446E-2</v>
      </c>
      <c r="BU40" s="16">
        <v>9.2433706047047037E-3</v>
      </c>
      <c r="BV40" s="16">
        <v>0.10952198897953935</v>
      </c>
      <c r="BW40" s="16">
        <v>4.3801211564365783E-2</v>
      </c>
      <c r="BX40" s="16">
        <v>6.8711240671287088E-2</v>
      </c>
      <c r="BY40" s="16">
        <v>7.432585433871064E-2</v>
      </c>
      <c r="BZ40" s="16">
        <v>3.1686197898560531E-2</v>
      </c>
      <c r="CA40" s="16">
        <v>3.2649859006445014E-3</v>
      </c>
      <c r="CB40" s="16">
        <v>0.10797378380233891</v>
      </c>
      <c r="CC40" s="16">
        <v>4.7827873696897893E-2</v>
      </c>
      <c r="CD40" s="16">
        <v>6.4985652999713817E-2</v>
      </c>
      <c r="CE40" s="16">
        <v>4.9751536497610993E-2</v>
      </c>
      <c r="CF40" s="16">
        <v>3.8606164289863298E-2</v>
      </c>
      <c r="CG40" s="16">
        <v>4.2469852678060915E-2</v>
      </c>
      <c r="CH40" s="16">
        <v>1.2547287107206984E-2</v>
      </c>
      <c r="CI40" s="16">
        <v>2.007233119919194E-2</v>
      </c>
      <c r="CJ40" s="16">
        <v>7.2862007482513369E-2</v>
      </c>
      <c r="CK40" s="16">
        <v>1.8995207810247994E-2</v>
      </c>
      <c r="CL40" s="16">
        <v>3.4339689624767078E-2</v>
      </c>
      <c r="CM40" s="16">
        <v>1.7375975915112529E-2</v>
      </c>
      <c r="CN40" s="16">
        <v>5.3907357520187382E-2</v>
      </c>
      <c r="CO40" s="16">
        <v>7.2439609631048785E-2</v>
      </c>
      <c r="CP40" s="16">
        <v>2.034265586980355E-2</v>
      </c>
      <c r="CQ40" s="16">
        <v>3.9970913205034653E-2</v>
      </c>
      <c r="CR40" s="16">
        <v>3.1126272301182034E-2</v>
      </c>
      <c r="CS40" s="16">
        <v>1.1312817578441381E-2</v>
      </c>
      <c r="CT40" s="16">
        <v>5.9319025586389573E-2</v>
      </c>
      <c r="CU40" s="16">
        <v>9.9697232805552316E-3</v>
      </c>
      <c r="CV40" s="16">
        <v>5.3538311802418304E-2</v>
      </c>
      <c r="CW40" s="16">
        <v>5.9916918050267221E-2</v>
      </c>
      <c r="CX40" s="16">
        <v>2.1023789822125272E-2</v>
      </c>
      <c r="CY40" s="16">
        <v>8.5648679534678918E-2</v>
      </c>
      <c r="CZ40" s="16">
        <v>1.3649147128104611E-2</v>
      </c>
      <c r="DA40" s="16">
        <v>4.5756634314531364E-2</v>
      </c>
      <c r="DB40" s="16">
        <v>6.5248266309325231E-2</v>
      </c>
      <c r="DC40" s="16">
        <v>3.2409203504921602E-2</v>
      </c>
      <c r="DD40" s="16">
        <v>4.1488381986187872E-2</v>
      </c>
      <c r="DE40" s="16">
        <v>4.6649441383294743E-2</v>
      </c>
      <c r="DF40" s="16">
        <v>3.3072091449644403E-2</v>
      </c>
      <c r="DG40" s="16">
        <v>6.6804917525204788E-2</v>
      </c>
      <c r="DH40" s="16">
        <v>6.7299583912585836E-2</v>
      </c>
      <c r="DI40" s="16">
        <v>3.2692367898422003E-2</v>
      </c>
      <c r="DJ40" s="16">
        <v>2.565810890861131E-2</v>
      </c>
      <c r="DK40" s="16">
        <v>2.9498316074211384E-2</v>
      </c>
      <c r="DL40" s="16">
        <v>1.8441624066299678E-2</v>
      </c>
      <c r="DM40" s="16">
        <v>2.2620902420798616E-2</v>
      </c>
      <c r="DN40" s="16">
        <v>1.0861213984879603E-2</v>
      </c>
    </row>
    <row r="41" spans="4:118" x14ac:dyDescent="0.2">
      <c r="D41" s="13">
        <v>33</v>
      </c>
      <c r="E41" s="14">
        <f>1-IFERROR(_xlfn.LOGNORM.DIST(D41,Parameter!$G$6,Parameter!$G$7,TRUE),0)</f>
        <v>4.1883389591718445E-2</v>
      </c>
      <c r="F41" s="15">
        <f t="shared" si="0"/>
        <v>8.8965790881566739E-2</v>
      </c>
      <c r="G41" s="15">
        <f t="shared" si="1"/>
        <v>1.0025706325269066E-2</v>
      </c>
      <c r="R41" s="14">
        <f ca="1">1-IFERROR(_xlfn.LOGNORM.DIST($D41,Parameter!$E$6,Parameter!$E$7,TRUE),0)</f>
        <v>4.0958347703159315E-2</v>
      </c>
      <c r="S41" s="16">
        <v>1.7014773981513742E-2</v>
      </c>
      <c r="T41" s="16">
        <v>1.7563606053796366E-2</v>
      </c>
      <c r="U41" s="16">
        <v>5.0299513696798526E-2</v>
      </c>
      <c r="V41" s="16">
        <v>8.256094694721694E-2</v>
      </c>
      <c r="W41" s="16">
        <v>2.9136379926529621E-2</v>
      </c>
      <c r="X41" s="16">
        <v>2.5310582687748884E-2</v>
      </c>
      <c r="Y41" s="16">
        <v>1.4123574396289307E-2</v>
      </c>
      <c r="Z41" s="16">
        <v>3.5088908026600696E-2</v>
      </c>
      <c r="AA41" s="16">
        <v>6.3606138456591799E-2</v>
      </c>
      <c r="AB41" s="16">
        <v>5.8327726469535213E-2</v>
      </c>
      <c r="AC41" s="16">
        <v>3.6473240439125587E-2</v>
      </c>
      <c r="AD41" s="16">
        <v>3.657586602749463E-2</v>
      </c>
      <c r="AE41" s="16">
        <v>3.9905912929458665E-2</v>
      </c>
      <c r="AF41" s="16">
        <v>5.2685176471058082E-2</v>
      </c>
      <c r="AG41" s="16">
        <v>3.8325448303465071E-2</v>
      </c>
      <c r="AH41" s="16">
        <v>5.1595160805921192E-2</v>
      </c>
      <c r="AI41" s="16">
        <v>1.7561556170555104E-2</v>
      </c>
      <c r="AJ41" s="16">
        <v>1.7486347808667979E-2</v>
      </c>
      <c r="AK41" s="16">
        <v>5.9006223721275286E-2</v>
      </c>
      <c r="AL41" s="16">
        <v>3.4572319239044691E-2</v>
      </c>
      <c r="AM41" s="16">
        <v>1.0649407779827036E-2</v>
      </c>
      <c r="AN41" s="16">
        <v>8.4378706595598318E-2</v>
      </c>
      <c r="AO41" s="16">
        <v>2.3938292602594502E-2</v>
      </c>
      <c r="AP41" s="16">
        <v>4.7581211287486269E-2</v>
      </c>
      <c r="AQ41" s="16">
        <v>3.9478157726110741E-2</v>
      </c>
      <c r="AR41" s="16">
        <v>3.2304144744916274E-2</v>
      </c>
      <c r="AS41" s="16">
        <v>4.0597049547373532E-2</v>
      </c>
      <c r="AT41" s="16">
        <v>6.1116677927064544E-2</v>
      </c>
      <c r="AU41" s="16">
        <v>8.2746900378072752E-2</v>
      </c>
      <c r="AV41" s="16">
        <v>4.6456399634291712E-2</v>
      </c>
      <c r="AW41" s="16">
        <v>5.1745135510865459E-2</v>
      </c>
      <c r="AX41" s="16">
        <v>1.6460643390653784E-2</v>
      </c>
      <c r="AY41" s="16">
        <v>3.7826088125904378E-2</v>
      </c>
      <c r="AZ41" s="16">
        <v>3.656489224529158E-2</v>
      </c>
      <c r="BA41" s="16">
        <v>5.7920114931738209E-2</v>
      </c>
      <c r="BB41" s="16">
        <v>2.9090221862130061E-2</v>
      </c>
      <c r="BC41" s="16">
        <v>5.651367930008222E-2</v>
      </c>
      <c r="BD41" s="16">
        <v>3.000076749881897E-2</v>
      </c>
      <c r="BE41" s="16">
        <v>5.2986181489157347E-2</v>
      </c>
      <c r="BF41" s="16">
        <v>1.3163117144123104E-2</v>
      </c>
      <c r="BG41" s="16">
        <v>5.7478258827839745E-2</v>
      </c>
      <c r="BH41" s="16">
        <v>5.1017228350003108E-2</v>
      </c>
      <c r="BI41" s="16">
        <v>4.4356519957317708E-2</v>
      </c>
      <c r="BJ41" s="16">
        <v>5.4261211189847169E-2</v>
      </c>
      <c r="BK41" s="16">
        <v>4.0330332604815444E-2</v>
      </c>
      <c r="BL41" s="16">
        <v>6.224048727798781E-2</v>
      </c>
      <c r="BM41" s="16">
        <v>5.3538542066037142E-2</v>
      </c>
      <c r="BN41" s="16">
        <v>3.120464981519111E-2</v>
      </c>
      <c r="BO41" s="16">
        <v>4.5925426242471978E-2</v>
      </c>
      <c r="BP41" s="16">
        <v>9.3116009997443072E-2</v>
      </c>
      <c r="BQ41" s="16">
        <v>4.3286689707527248E-2</v>
      </c>
      <c r="BR41" s="16">
        <v>2.964144552491399E-2</v>
      </c>
      <c r="BS41" s="16">
        <v>3.9593479786860564E-2</v>
      </c>
      <c r="BT41" s="16">
        <v>6.9944749483034308E-2</v>
      </c>
      <c r="BU41" s="16">
        <v>8.8971234995577353E-3</v>
      </c>
      <c r="BV41" s="16">
        <v>0.10798080120048292</v>
      </c>
      <c r="BW41" s="16">
        <v>4.2817702018374981E-2</v>
      </c>
      <c r="BX41" s="16">
        <v>6.7286324887840809E-2</v>
      </c>
      <c r="BY41" s="16">
        <v>7.3083411266498643E-2</v>
      </c>
      <c r="BZ41" s="16">
        <v>3.0805765019368159E-2</v>
      </c>
      <c r="CA41" s="16">
        <v>3.1098076719642265E-3</v>
      </c>
      <c r="CB41" s="16">
        <v>0.10620948216024295</v>
      </c>
      <c r="CC41" s="16">
        <v>4.6702798046927119E-2</v>
      </c>
      <c r="CD41" s="16">
        <v>6.3773136617858661E-2</v>
      </c>
      <c r="CE41" s="16">
        <v>4.8752956556768701E-2</v>
      </c>
      <c r="CF41" s="16">
        <v>3.7738340829783779E-2</v>
      </c>
      <c r="CG41" s="16">
        <v>4.1474297034059138E-2</v>
      </c>
      <c r="CH41" s="16">
        <v>1.2129387751773191E-2</v>
      </c>
      <c r="CI41" s="16">
        <v>1.958398430611108E-2</v>
      </c>
      <c r="CJ41" s="16">
        <v>7.1569905619103813E-2</v>
      </c>
      <c r="CK41" s="16">
        <v>1.8423723665946024E-2</v>
      </c>
      <c r="CL41" s="16">
        <v>3.3460984370567992E-2</v>
      </c>
      <c r="CM41" s="16">
        <v>1.6882837136210416E-2</v>
      </c>
      <c r="CN41" s="16">
        <v>5.2879690890065945E-2</v>
      </c>
      <c r="CO41" s="16">
        <v>7.111408004954578E-2</v>
      </c>
      <c r="CP41" s="16">
        <v>1.9736444983334267E-2</v>
      </c>
      <c r="CQ41" s="16">
        <v>3.9066484051926142E-2</v>
      </c>
      <c r="CR41" s="16">
        <v>3.0369053689595749E-2</v>
      </c>
      <c r="CS41" s="16">
        <v>1.0939403743585374E-2</v>
      </c>
      <c r="CT41" s="16">
        <v>5.7852002657674317E-2</v>
      </c>
      <c r="CU41" s="16">
        <v>9.6130986518890849E-3</v>
      </c>
      <c r="CV41" s="16">
        <v>5.2503256174478374E-2</v>
      </c>
      <c r="CW41" s="16">
        <v>5.8767136463687586E-2</v>
      </c>
      <c r="CX41" s="16">
        <v>2.0497667072896242E-2</v>
      </c>
      <c r="CY41" s="16">
        <v>8.4159255675334221E-2</v>
      </c>
      <c r="CZ41" s="16">
        <v>1.3166529434957663E-2</v>
      </c>
      <c r="DA41" s="16">
        <v>4.4894035440468771E-2</v>
      </c>
      <c r="DB41" s="16">
        <v>6.3739581337515783E-2</v>
      </c>
      <c r="DC41" s="16">
        <v>3.1499882197924545E-2</v>
      </c>
      <c r="DD41" s="16">
        <v>4.0366438929421822E-2</v>
      </c>
      <c r="DE41" s="16">
        <v>4.5617746822229299E-2</v>
      </c>
      <c r="DF41" s="16">
        <v>3.2324698689058962E-2</v>
      </c>
      <c r="DG41" s="16">
        <v>6.5645823608163401E-2</v>
      </c>
      <c r="DH41" s="16">
        <v>6.6037037274433219E-2</v>
      </c>
      <c r="DI41" s="16">
        <v>3.1890885396558932E-2</v>
      </c>
      <c r="DJ41" s="16">
        <v>2.4945711198720577E-2</v>
      </c>
      <c r="DK41" s="16">
        <v>2.8799862287852696E-2</v>
      </c>
      <c r="DL41" s="16">
        <v>1.7950536809026918E-2</v>
      </c>
      <c r="DM41" s="16">
        <v>2.1990246462328389E-2</v>
      </c>
      <c r="DN41" s="16">
        <v>1.0481746385320623E-2</v>
      </c>
    </row>
    <row r="42" spans="4:118" x14ac:dyDescent="0.2">
      <c r="D42" s="13">
        <v>34</v>
      </c>
      <c r="E42" s="14">
        <f>1-IFERROR(_xlfn.LOGNORM.DIST(D42,Parameter!$G$6,Parameter!$G$7,TRUE),0)</f>
        <v>4.0974021778013348E-2</v>
      </c>
      <c r="F42" s="15">
        <f t="shared" si="0"/>
        <v>8.7620597749965376E-2</v>
      </c>
      <c r="G42" s="15">
        <f t="shared" si="1"/>
        <v>9.6800928252861514E-3</v>
      </c>
      <c r="R42" s="14">
        <f ca="1">1-IFERROR(_xlfn.LOGNORM.DIST($D42,Parameter!$E$6,Parameter!$E$7,TRUE),0)</f>
        <v>4.0015006961791055E-2</v>
      </c>
      <c r="S42" s="16">
        <v>1.6568666204994531E-2</v>
      </c>
      <c r="T42" s="16">
        <v>1.7067323516262722E-2</v>
      </c>
      <c r="U42" s="16">
        <v>4.9150522792903217E-2</v>
      </c>
      <c r="V42" s="16">
        <v>8.1181100966626341E-2</v>
      </c>
      <c r="W42" s="16">
        <v>2.8471880594088672E-2</v>
      </c>
      <c r="X42" s="16">
        <v>2.4600123343266778E-2</v>
      </c>
      <c r="Y42" s="16">
        <v>1.3698363135859259E-2</v>
      </c>
      <c r="Z42" s="16">
        <v>3.4367042996901631E-2</v>
      </c>
      <c r="AA42" s="16">
        <v>6.2459405211077956E-2</v>
      </c>
      <c r="AB42" s="16">
        <v>5.7058818083837282E-2</v>
      </c>
      <c r="AC42" s="16">
        <v>3.5637357869688135E-2</v>
      </c>
      <c r="AD42" s="16">
        <v>3.5746390241121917E-2</v>
      </c>
      <c r="AE42" s="16">
        <v>3.9030839887782776E-2</v>
      </c>
      <c r="AF42" s="16">
        <v>5.1612506000087044E-2</v>
      </c>
      <c r="AG42" s="16">
        <v>3.7242932876752621E-2</v>
      </c>
      <c r="AH42" s="16">
        <v>5.0647383976797244E-2</v>
      </c>
      <c r="AI42" s="16">
        <v>1.7079891009413206E-2</v>
      </c>
      <c r="AJ42" s="16">
        <v>1.6970122305714819E-2</v>
      </c>
      <c r="AK42" s="16">
        <v>5.8015856397546028E-2</v>
      </c>
      <c r="AL42" s="16">
        <v>3.3814084137784306E-2</v>
      </c>
      <c r="AM42" s="16">
        <v>1.0268305901423247E-2</v>
      </c>
      <c r="AN42" s="16">
        <v>8.2998444039713126E-2</v>
      </c>
      <c r="AO42" s="16">
        <v>2.332391055425076E-2</v>
      </c>
      <c r="AP42" s="16">
        <v>4.670770869613039E-2</v>
      </c>
      <c r="AQ42" s="16">
        <v>3.87080397332904E-2</v>
      </c>
      <c r="AR42" s="16">
        <v>3.1458223354132175E-2</v>
      </c>
      <c r="AS42" s="16">
        <v>3.9709240998968554E-2</v>
      </c>
      <c r="AT42" s="16">
        <v>5.9999234499258036E-2</v>
      </c>
      <c r="AU42" s="16">
        <v>8.1378918907021869E-2</v>
      </c>
      <c r="AV42" s="16">
        <v>4.5399494565061427E-2</v>
      </c>
      <c r="AW42" s="16">
        <v>5.0836713431283487E-2</v>
      </c>
      <c r="AX42" s="16">
        <v>1.5970210935921658E-2</v>
      </c>
      <c r="AY42" s="16">
        <v>3.6855782827663441E-2</v>
      </c>
      <c r="AZ42" s="16">
        <v>3.5764349018567509E-2</v>
      </c>
      <c r="BA42" s="16">
        <v>5.6608290746655299E-2</v>
      </c>
      <c r="BB42" s="16">
        <v>2.8347971551830775E-2</v>
      </c>
      <c r="BC42" s="16">
        <v>5.5271459331228123E-2</v>
      </c>
      <c r="BD42" s="16">
        <v>2.9371769108032408E-2</v>
      </c>
      <c r="BE42" s="16">
        <v>5.1927485575326782E-2</v>
      </c>
      <c r="BF42" s="16">
        <v>1.2726374301518906E-2</v>
      </c>
      <c r="BG42" s="16">
        <v>5.6215242929037124E-2</v>
      </c>
      <c r="BH42" s="16">
        <v>5.00413248288335E-2</v>
      </c>
      <c r="BI42" s="16">
        <v>4.3486202312156608E-2</v>
      </c>
      <c r="BJ42" s="16">
        <v>5.3199173211442963E-2</v>
      </c>
      <c r="BK42" s="16">
        <v>3.9516204810074895E-2</v>
      </c>
      <c r="BL42" s="16">
        <v>6.0948118766752768E-2</v>
      </c>
      <c r="BM42" s="16">
        <v>5.2487999226994986E-2</v>
      </c>
      <c r="BN42" s="16">
        <v>3.0396374163070616E-2</v>
      </c>
      <c r="BO42" s="16">
        <v>4.4997729811036891E-2</v>
      </c>
      <c r="BP42" s="16">
        <v>9.180254634495566E-2</v>
      </c>
      <c r="BQ42" s="16">
        <v>4.2446251430587112E-2</v>
      </c>
      <c r="BR42" s="16">
        <v>2.8884969806931005E-2</v>
      </c>
      <c r="BS42" s="16">
        <v>3.8816924157143662E-2</v>
      </c>
      <c r="BT42" s="16">
        <v>6.8537413362475874E-2</v>
      </c>
      <c r="BU42" s="16">
        <v>8.5721285198115948E-3</v>
      </c>
      <c r="BV42" s="16">
        <v>0.1065006098672252</v>
      </c>
      <c r="BW42" s="16">
        <v>4.1880688727926052E-2</v>
      </c>
      <c r="BX42" s="16">
        <v>6.5925886783578136E-2</v>
      </c>
      <c r="BY42" s="16">
        <v>7.1893311501447399E-2</v>
      </c>
      <c r="BZ42" s="16">
        <v>2.9971068297289238E-2</v>
      </c>
      <c r="CA42" s="16">
        <v>2.9656408587442895E-3</v>
      </c>
      <c r="CB42" s="16">
        <v>0.10451784646142448</v>
      </c>
      <c r="CC42" s="16">
        <v>4.5631701764353494E-2</v>
      </c>
      <c r="CD42" s="16">
        <v>6.2613709716260013E-2</v>
      </c>
      <c r="CE42" s="16">
        <v>4.7799562326537481E-2</v>
      </c>
      <c r="CF42" s="16">
        <v>3.6911708636130247E-2</v>
      </c>
      <c r="CG42" s="16">
        <v>4.0526619301195055E-2</v>
      </c>
      <c r="CH42" s="16">
        <v>1.1735549315984972E-2</v>
      </c>
      <c r="CI42" s="16">
        <v>1.9119896582313722E-2</v>
      </c>
      <c r="CJ42" s="16">
        <v>7.0333252495494381E-2</v>
      </c>
      <c r="CK42" s="16">
        <v>1.7883361620046556E-2</v>
      </c>
      <c r="CL42" s="16">
        <v>3.2626287103588503E-2</v>
      </c>
      <c r="CM42" s="16">
        <v>1.6415908162048631E-2</v>
      </c>
      <c r="CN42" s="16">
        <v>5.1897616851373174E-2</v>
      </c>
      <c r="CO42" s="16">
        <v>6.9846001521528978E-2</v>
      </c>
      <c r="CP42" s="16">
        <v>1.9163057425679253E-2</v>
      </c>
      <c r="CQ42" s="16">
        <v>3.8205048122812446E-2</v>
      </c>
      <c r="CR42" s="16">
        <v>2.9649092388345899E-2</v>
      </c>
      <c r="CS42" s="16">
        <v>1.0587434297111953E-2</v>
      </c>
      <c r="CT42" s="16">
        <v>5.6456183475475097E-2</v>
      </c>
      <c r="CU42" s="16">
        <v>9.2778276150463634E-3</v>
      </c>
      <c r="CV42" s="16">
        <v>5.1514344386851318E-2</v>
      </c>
      <c r="CW42" s="16">
        <v>5.7668300897136038E-2</v>
      </c>
      <c r="CX42" s="16">
        <v>1.9997955760490682E-2</v>
      </c>
      <c r="CY42" s="16">
        <v>8.2732961694958473E-2</v>
      </c>
      <c r="CZ42" s="16">
        <v>1.2712484243565081E-2</v>
      </c>
      <c r="DA42" s="16">
        <v>4.4069748142002707E-2</v>
      </c>
      <c r="DB42" s="16">
        <v>6.2302009418338522E-2</v>
      </c>
      <c r="DC42" s="16">
        <v>3.0637966182266219E-2</v>
      </c>
      <c r="DD42" s="16">
        <v>3.9301661173911207E-2</v>
      </c>
      <c r="DE42" s="16">
        <v>4.4634462694461807E-2</v>
      </c>
      <c r="DF42" s="16">
        <v>3.1612994421731155E-2</v>
      </c>
      <c r="DG42" s="16">
        <v>6.4536295027593615E-2</v>
      </c>
      <c r="DH42" s="16">
        <v>6.4829797549013413E-2</v>
      </c>
      <c r="DI42" s="16">
        <v>3.1128910047841463E-2</v>
      </c>
      <c r="DJ42" s="16">
        <v>2.4270506270838155E-2</v>
      </c>
      <c r="DK42" s="16">
        <v>2.8135455301699475E-2</v>
      </c>
      <c r="DL42" s="16">
        <v>1.7484812243401926E-2</v>
      </c>
      <c r="DM42" s="16">
        <v>2.1392669236598438E-2</v>
      </c>
      <c r="DN42" s="16">
        <v>1.012470174186697E-2</v>
      </c>
    </row>
    <row r="43" spans="4:118" x14ac:dyDescent="0.2">
      <c r="D43" s="13">
        <v>35</v>
      </c>
      <c r="E43" s="14">
        <f>1-IFERROR(_xlfn.LOGNORM.DIST(D43,Parameter!$G$6,Parameter!$G$7,TRUE),0)</f>
        <v>4.0106405971583436E-2</v>
      </c>
      <c r="F43" s="15">
        <f t="shared" si="0"/>
        <v>8.6329073009759172E-2</v>
      </c>
      <c r="G43" s="15">
        <f t="shared" si="1"/>
        <v>9.3545084418799277E-3</v>
      </c>
      <c r="R43" s="14">
        <f ca="1">1-IFERROR(_xlfn.LOGNORM.DIST($D43,Parameter!$E$6,Parameter!$E$7,TRUE),0)</f>
        <v>3.9115983803499121E-2</v>
      </c>
      <c r="S43" s="16">
        <v>1.6145108387325746E-2</v>
      </c>
      <c r="T43" s="16">
        <v>1.6596947233898041E-2</v>
      </c>
      <c r="U43" s="16">
        <v>4.8054995458967964E-2</v>
      </c>
      <c r="V43" s="16">
        <v>7.9857977440688788E-2</v>
      </c>
      <c r="W43" s="16">
        <v>2.7838758430953625E-2</v>
      </c>
      <c r="X43" s="16">
        <v>2.3926349313720729E-2</v>
      </c>
      <c r="Y43" s="16">
        <v>1.3296093742329096E-2</v>
      </c>
      <c r="Z43" s="16">
        <v>3.3677827165095708E-2</v>
      </c>
      <c r="AA43" s="16">
        <v>6.1361403385511548E-2</v>
      </c>
      <c r="AB43" s="16">
        <v>5.5847589861560354E-2</v>
      </c>
      <c r="AC43" s="16">
        <v>3.4840797346627483E-2</v>
      </c>
      <c r="AD43" s="16">
        <v>3.4955774790837779E-2</v>
      </c>
      <c r="AE43" s="16">
        <v>3.819614821395434E-2</v>
      </c>
      <c r="AF43" s="16">
        <v>5.0587619346478152E-2</v>
      </c>
      <c r="AG43" s="16">
        <v>3.6215833470263026E-2</v>
      </c>
      <c r="AH43" s="16">
        <v>4.9740403499602515E-2</v>
      </c>
      <c r="AI43" s="16">
        <v>1.6623039312288812E-2</v>
      </c>
      <c r="AJ43" s="16">
        <v>1.6481386230993378E-2</v>
      </c>
      <c r="AK43" s="16">
        <v>5.7066746497019261E-2</v>
      </c>
      <c r="AL43" s="16">
        <v>3.3090974695544895E-2</v>
      </c>
      <c r="AM43" s="16">
        <v>9.9096885675948876E-3</v>
      </c>
      <c r="AN43" s="16">
        <v>8.1674513226696832E-2</v>
      </c>
      <c r="AO43" s="16">
        <v>2.2740092412227964E-2</v>
      </c>
      <c r="AP43" s="16">
        <v>4.5871886408691331E-2</v>
      </c>
      <c r="AQ43" s="16">
        <v>3.7972002942235017E-2</v>
      </c>
      <c r="AR43" s="16">
        <v>3.0654431789708836E-2</v>
      </c>
      <c r="AS43" s="16">
        <v>3.8862340173900778E-2</v>
      </c>
      <c r="AT43" s="16">
        <v>5.8929558461096376E-2</v>
      </c>
      <c r="AU43" s="16">
        <v>8.0066986381198024E-2</v>
      </c>
      <c r="AV43" s="16">
        <v>4.4391820152136274E-2</v>
      </c>
      <c r="AW43" s="16">
        <v>4.9966821819893759E-2</v>
      </c>
      <c r="AX43" s="16">
        <v>1.5506036305199533E-2</v>
      </c>
      <c r="AY43" s="16">
        <v>3.5933176217769036E-2</v>
      </c>
      <c r="AZ43" s="16">
        <v>3.5000813577918288E-2</v>
      </c>
      <c r="BA43" s="16">
        <v>5.5357007620340903E-2</v>
      </c>
      <c r="BB43" s="16">
        <v>2.7642388122910089E-2</v>
      </c>
      <c r="BC43" s="16">
        <v>5.4085985545443305E-2</v>
      </c>
      <c r="BD43" s="16">
        <v>2.8771522827119256E-2</v>
      </c>
      <c r="BE43" s="16">
        <v>5.091563357841955E-2</v>
      </c>
      <c r="BF43" s="16">
        <v>1.2314347527126568E-2</v>
      </c>
      <c r="BG43" s="16">
        <v>5.5009881110161474E-2</v>
      </c>
      <c r="BH43" s="16">
        <v>4.9108013366514158E-2</v>
      </c>
      <c r="BI43" s="16">
        <v>4.2654356932714022E-2</v>
      </c>
      <c r="BJ43" s="16">
        <v>5.2183758614886888E-2</v>
      </c>
      <c r="BK43" s="16">
        <v>3.8738520133233201E-2</v>
      </c>
      <c r="BL43" s="16">
        <v>5.9713384706122974E-2</v>
      </c>
      <c r="BM43" s="16">
        <v>5.1483634967402159E-2</v>
      </c>
      <c r="BN43" s="16">
        <v>2.962820668645294E-2</v>
      </c>
      <c r="BO43" s="16">
        <v>4.4111419440718169E-2</v>
      </c>
      <c r="BP43" s="16">
        <v>9.0540341384910961E-2</v>
      </c>
      <c r="BQ43" s="16">
        <v>4.1642855017307245E-2</v>
      </c>
      <c r="BR43" s="16">
        <v>2.8165849488325345E-2</v>
      </c>
      <c r="BS43" s="16">
        <v>3.8074796636977659E-2</v>
      </c>
      <c r="BT43" s="16">
        <v>6.7191875944095925E-2</v>
      </c>
      <c r="BU43" s="16">
        <v>8.2665688612391097E-3</v>
      </c>
      <c r="BV43" s="16">
        <v>0.10507740082060735</v>
      </c>
      <c r="BW43" s="16">
        <v>4.098679540792094E-2</v>
      </c>
      <c r="BX43" s="16">
        <v>6.4625379808195826E-2</v>
      </c>
      <c r="BY43" s="16">
        <v>7.075198889263723E-2</v>
      </c>
      <c r="BZ43" s="16">
        <v>2.9178603772315626E-2</v>
      </c>
      <c r="CA43" s="16">
        <v>2.831445796026455E-3</v>
      </c>
      <c r="CB43" s="16">
        <v>0.10289401309091262</v>
      </c>
      <c r="CC43" s="16">
        <v>4.4610641967385067E-2</v>
      </c>
      <c r="CD43" s="16">
        <v>6.1503681823409484E-2</v>
      </c>
      <c r="CE43" s="16">
        <v>4.6888149211419816E-2</v>
      </c>
      <c r="CF43" s="16">
        <v>3.6123265097680046E-2</v>
      </c>
      <c r="CG43" s="16">
        <v>3.9623311139752038E-2</v>
      </c>
      <c r="CH43" s="16">
        <v>1.1363797068303372E-2</v>
      </c>
      <c r="CI43" s="16">
        <v>1.8678243467827316E-2</v>
      </c>
      <c r="CJ43" s="16">
        <v>6.9148237080465691E-2</v>
      </c>
      <c r="CK43" s="16">
        <v>1.7371658279580759E-2</v>
      </c>
      <c r="CL43" s="16">
        <v>3.1832294477588952E-2</v>
      </c>
      <c r="CM43" s="16">
        <v>1.597314036754649E-2</v>
      </c>
      <c r="CN43" s="16">
        <v>5.0957936613561627E-2</v>
      </c>
      <c r="CO43" s="16">
        <v>6.8631406956407126E-2</v>
      </c>
      <c r="CP43" s="16">
        <v>1.8619905597198949E-2</v>
      </c>
      <c r="CQ43" s="16">
        <v>3.7383470595241719E-2</v>
      </c>
      <c r="CR43" s="16">
        <v>2.8963613773006047E-2</v>
      </c>
      <c r="CS43" s="16">
        <v>1.0255150095317966E-2</v>
      </c>
      <c r="CT43" s="16">
        <v>5.512636057703002E-2</v>
      </c>
      <c r="CU43" s="16">
        <v>8.9621127820963542E-3</v>
      </c>
      <c r="CV43" s="16">
        <v>5.0568331044164583E-2</v>
      </c>
      <c r="CW43" s="16">
        <v>5.6616845021180251E-2</v>
      </c>
      <c r="CX43" s="16">
        <v>1.9522659025502764E-2</v>
      </c>
      <c r="CY43" s="16">
        <v>8.1365496479261834E-2</v>
      </c>
      <c r="CZ43" s="16">
        <v>1.2284630384158723E-2</v>
      </c>
      <c r="DA43" s="16">
        <v>4.3281077043215044E-2</v>
      </c>
      <c r="DB43" s="16">
        <v>6.0930433405944617E-2</v>
      </c>
      <c r="DC43" s="16">
        <v>2.9819818059005687E-2</v>
      </c>
      <c r="DD43" s="16">
        <v>3.8289733116236624E-2</v>
      </c>
      <c r="DE43" s="16">
        <v>4.3696090271733268E-2</v>
      </c>
      <c r="DF43" s="16">
        <v>3.093436391552884E-2</v>
      </c>
      <c r="DG43" s="16">
        <v>6.3472925637644173E-2</v>
      </c>
      <c r="DH43" s="16">
        <v>6.3674021634632871E-2</v>
      </c>
      <c r="DI43" s="16">
        <v>3.0403498777414328E-2</v>
      </c>
      <c r="DJ43" s="16">
        <v>2.362962841241445E-2</v>
      </c>
      <c r="DK43" s="16">
        <v>2.7502570272041393E-2</v>
      </c>
      <c r="DL43" s="16">
        <v>1.7042500339422895E-2</v>
      </c>
      <c r="DM43" s="16">
        <v>2.0825611513913489E-2</v>
      </c>
      <c r="DN43" s="16">
        <v>9.7882089079565082E-3</v>
      </c>
    </row>
    <row r="44" spans="4:118" x14ac:dyDescent="0.2">
      <c r="D44" s="13">
        <v>36</v>
      </c>
      <c r="E44" s="14">
        <f>1-IFERROR(_xlfn.LOGNORM.DIST(D44,Parameter!$G$6,Parameter!$G$7,TRUE),0)</f>
        <v>3.927759341030268E-2</v>
      </c>
      <c r="F44" s="15">
        <f t="shared" si="0"/>
        <v>8.5087713018430197E-2</v>
      </c>
      <c r="G44" s="15">
        <f t="shared" si="1"/>
        <v>9.0473178384307303E-3</v>
      </c>
      <c r="R44" s="14">
        <f ca="1">1-IFERROR(_xlfn.LOGNORM.DIST($D44,Parameter!$E$6,Parameter!$E$7,TRUE),0)</f>
        <v>3.8258110667236278E-2</v>
      </c>
      <c r="S44" s="16">
        <v>1.5742406772264905E-2</v>
      </c>
      <c r="T44" s="16">
        <v>1.6150496877726628E-2</v>
      </c>
      <c r="U44" s="16">
        <v>4.7009142109125546E-2</v>
      </c>
      <c r="V44" s="16">
        <v>7.858781966500461E-2</v>
      </c>
      <c r="W44" s="16">
        <v>2.7234754507578951E-2</v>
      </c>
      <c r="X44" s="16">
        <v>2.3286485400555113E-2</v>
      </c>
      <c r="Y44" s="16">
        <v>1.2914975432270714E-2</v>
      </c>
      <c r="Z44" s="16">
        <v>3.3018966831181662E-2</v>
      </c>
      <c r="AA44" s="16">
        <v>6.0308840251749651E-2</v>
      </c>
      <c r="AB44" s="16">
        <v>5.4690011249413417E-2</v>
      </c>
      <c r="AC44" s="16">
        <v>3.408074158298402E-2</v>
      </c>
      <c r="AD44" s="16">
        <v>3.4201241457648912E-2</v>
      </c>
      <c r="AE44" s="16">
        <v>3.739897663679892E-2</v>
      </c>
      <c r="AF44" s="16">
        <v>4.9607203781061981E-2</v>
      </c>
      <c r="AG44" s="16">
        <v>3.5240005449218237E-2</v>
      </c>
      <c r="AH44" s="16">
        <v>4.8871436931689272E-2</v>
      </c>
      <c r="AI44" s="16">
        <v>1.6189118183818851E-2</v>
      </c>
      <c r="AJ44" s="16">
        <v>1.6018014555451821E-2</v>
      </c>
      <c r="AK44" s="16">
        <v>5.6156129182990511E-2</v>
      </c>
      <c r="AL44" s="16">
        <v>3.2400492289773375E-2</v>
      </c>
      <c r="AM44" s="16">
        <v>9.5717015287953844E-3</v>
      </c>
      <c r="AN44" s="16">
        <v>8.0403196907254171E-2</v>
      </c>
      <c r="AO44" s="16">
        <v>2.2184570654736002E-2</v>
      </c>
      <c r="AP44" s="16">
        <v>4.5071168993704336E-2</v>
      </c>
      <c r="AQ44" s="16">
        <v>3.7267682640461319E-2</v>
      </c>
      <c r="AR44" s="16">
        <v>2.9889655105225232E-2</v>
      </c>
      <c r="AS44" s="16">
        <v>3.8053451418433637E-2</v>
      </c>
      <c r="AT44" s="16">
        <v>5.7904411085184182E-2</v>
      </c>
      <c r="AU44" s="16">
        <v>7.8807396340457969E-2</v>
      </c>
      <c r="AV44" s="16">
        <v>4.342988001758552E-2</v>
      </c>
      <c r="AW44" s="16">
        <v>4.9132851580040104E-2</v>
      </c>
      <c r="AX44" s="16">
        <v>1.5066082100971379E-2</v>
      </c>
      <c r="AY44" s="16">
        <v>3.5054774413634249E-2</v>
      </c>
      <c r="AZ44" s="16">
        <v>3.4271658159192531E-2</v>
      </c>
      <c r="BA44" s="16">
        <v>5.4162003508491985E-2</v>
      </c>
      <c r="BB44" s="16">
        <v>2.6970768133127043E-2</v>
      </c>
      <c r="BC44" s="16">
        <v>5.295328069104499E-2</v>
      </c>
      <c r="BD44" s="16">
        <v>2.8197994136332394E-2</v>
      </c>
      <c r="BE44" s="16">
        <v>4.9947388874048593E-2</v>
      </c>
      <c r="BF44" s="16">
        <v>1.1925052325224117E-2</v>
      </c>
      <c r="BG44" s="16">
        <v>5.3858135283801456E-2</v>
      </c>
      <c r="BH44" s="16">
        <v>4.821436897456477E-2</v>
      </c>
      <c r="BI44" s="16">
        <v>4.1858319869495952E-2</v>
      </c>
      <c r="BJ44" s="16">
        <v>5.1211759512130972E-2</v>
      </c>
      <c r="BK44" s="16">
        <v>3.799473607514825E-2</v>
      </c>
      <c r="BL44" s="16">
        <v>5.8532299558052614E-2</v>
      </c>
      <c r="BM44" s="16">
        <v>5.0522269322948898E-2</v>
      </c>
      <c r="BN44" s="16">
        <v>2.8897186097516903E-2</v>
      </c>
      <c r="BO44" s="16">
        <v>4.3263617765144979E-2</v>
      </c>
      <c r="BP44" s="16">
        <v>8.9326084738065803E-2</v>
      </c>
      <c r="BQ44" s="16">
        <v>4.0873938504522589E-2</v>
      </c>
      <c r="BR44" s="16">
        <v>2.7481331623124272E-2</v>
      </c>
      <c r="BS44" s="16">
        <v>3.7364706361255662E-2</v>
      </c>
      <c r="BT44" s="16">
        <v>6.5903905015199826E-2</v>
      </c>
      <c r="BU44" s="16">
        <v>7.9788258174313675E-3</v>
      </c>
      <c r="BV44" s="16">
        <v>0.1037075259069411</v>
      </c>
      <c r="BW44" s="16">
        <v>4.0132974177099379E-2</v>
      </c>
      <c r="BX44" s="16">
        <v>6.3380690082949886E-2</v>
      </c>
      <c r="BY44" s="16">
        <v>6.9656210028654741E-2</v>
      </c>
      <c r="BZ44" s="16">
        <v>2.8425220423157649E-2</v>
      </c>
      <c r="CA44" s="16">
        <v>2.706304806763371E-3</v>
      </c>
      <c r="CB44" s="16">
        <v>0.10133356576693975</v>
      </c>
      <c r="CC44" s="16">
        <v>4.3636060234482743E-2</v>
      </c>
      <c r="CD44" s="16">
        <v>6.0439711176136113E-2</v>
      </c>
      <c r="CE44" s="16">
        <v>4.6015819700579219E-2</v>
      </c>
      <c r="CF44" s="16">
        <v>3.5370300663046361E-2</v>
      </c>
      <c r="CG44" s="16">
        <v>3.8761207377517426E-2</v>
      </c>
      <c r="CH44" s="16">
        <v>1.1012365519898371E-2</v>
      </c>
      <c r="CI44" s="16">
        <v>1.8257382747733808E-2</v>
      </c>
      <c r="CJ44" s="16">
        <v>6.8011405734347163E-2</v>
      </c>
      <c r="CK44" s="16">
        <v>1.6886404560148449E-2</v>
      </c>
      <c r="CL44" s="16">
        <v>3.1076031578880059E-2</v>
      </c>
      <c r="CM44" s="16">
        <v>1.5552695080056966E-2</v>
      </c>
      <c r="CN44" s="16">
        <v>5.0057755788645353E-2</v>
      </c>
      <c r="CO44" s="16">
        <v>6.7466702266421819E-2</v>
      </c>
      <c r="CP44" s="16">
        <v>1.8104668212466812E-2</v>
      </c>
      <c r="CQ44" s="16">
        <v>3.6598922566656533E-2</v>
      </c>
      <c r="CR44" s="16">
        <v>2.8310118019014396E-2</v>
      </c>
      <c r="CS44" s="16">
        <v>9.9409784605504203E-3</v>
      </c>
      <c r="CT44" s="16">
        <v>5.3857833060852234E-2</v>
      </c>
      <c r="CU44" s="16">
        <v>8.6643506655214031E-3</v>
      </c>
      <c r="CV44" s="16">
        <v>4.9662280043821005E-2</v>
      </c>
      <c r="CW44" s="16">
        <v>5.5609541102519366E-2</v>
      </c>
      <c r="CX44" s="16">
        <v>1.9069980176269374E-2</v>
      </c>
      <c r="CY44" s="16">
        <v>8.0052959553571834E-2</v>
      </c>
      <c r="CZ44" s="16">
        <v>1.1880841335958126E-2</v>
      </c>
      <c r="DA44" s="16">
        <v>4.2525584019757368E-2</v>
      </c>
      <c r="DB44" s="16">
        <v>5.9620228833853428E-2</v>
      </c>
      <c r="DC44" s="16">
        <v>2.9042167054164292E-2</v>
      </c>
      <c r="DD44" s="16">
        <v>3.7326768743184191E-2</v>
      </c>
      <c r="DE44" s="16">
        <v>4.2799469993698658E-2</v>
      </c>
      <c r="DF44" s="16">
        <v>3.0286448735483362E-2</v>
      </c>
      <c r="DG44" s="16">
        <v>6.2452628978464708E-2</v>
      </c>
      <c r="DH44" s="16">
        <v>6.2566229338797075E-2</v>
      </c>
      <c r="DI44" s="16">
        <v>2.9711999928235922E-2</v>
      </c>
      <c r="DJ44" s="16">
        <v>2.3020502142185872E-2</v>
      </c>
      <c r="DK44" s="16">
        <v>2.689893187872916E-2</v>
      </c>
      <c r="DL44" s="16">
        <v>1.6621848771862013E-2</v>
      </c>
      <c r="DM44" s="16">
        <v>2.0286774182871947E-2</v>
      </c>
      <c r="DN44" s="16">
        <v>9.4705973453305115E-3</v>
      </c>
    </row>
    <row r="45" spans="4:118" x14ac:dyDescent="0.2">
      <c r="D45" s="13">
        <v>37</v>
      </c>
      <c r="E45" s="14">
        <f>1-IFERROR(_xlfn.LOGNORM.DIST(D45,Parameter!$G$6,Parameter!$G$7,TRUE),0)</f>
        <v>3.8484914553255201E-2</v>
      </c>
      <c r="F45" s="15">
        <f t="shared" si="0"/>
        <v>8.3893329062020239E-2</v>
      </c>
      <c r="G45" s="15">
        <f t="shared" si="1"/>
        <v>8.7570570577632928E-3</v>
      </c>
      <c r="R45" s="14">
        <f ca="1">1-IFERROR(_xlfn.LOGNORM.DIST($D45,Parameter!$E$6,Parameter!$E$7,TRUE),0)</f>
        <v>3.7438522104904171E-2</v>
      </c>
      <c r="S45" s="16">
        <v>1.5359035262391907E-2</v>
      </c>
      <c r="T45" s="16">
        <v>1.5726190296046716E-2</v>
      </c>
      <c r="U45" s="16">
        <v>4.6009532033021161E-2</v>
      </c>
      <c r="V45" s="16">
        <v>7.7367211497474497E-2</v>
      </c>
      <c r="W45" s="16">
        <v>2.6657826909039839E-2</v>
      </c>
      <c r="X45" s="16">
        <v>2.267803152786374E-2</v>
      </c>
      <c r="Y45" s="16">
        <v>1.2553399297607348E-2</v>
      </c>
      <c r="Z45" s="16">
        <v>3.2388385113826468E-2</v>
      </c>
      <c r="AA45" s="16">
        <v>5.9298725792024332E-2</v>
      </c>
      <c r="AB45" s="16">
        <v>5.3582429622244354E-2</v>
      </c>
      <c r="AC45" s="16">
        <v>3.3354642677120072E-2</v>
      </c>
      <c r="AD45" s="16">
        <v>3.3480277325275032E-2</v>
      </c>
      <c r="AE45" s="16">
        <v>3.6636735462869052E-2</v>
      </c>
      <c r="AF45" s="16">
        <v>4.8668256200469107E-2</v>
      </c>
      <c r="AG45" s="16">
        <v>3.4311710364084202E-2</v>
      </c>
      <c r="AH45" s="16">
        <v>4.8037959505418448E-2</v>
      </c>
      <c r="AI45" s="16">
        <v>1.5776432281797259E-2</v>
      </c>
      <c r="AJ45" s="16">
        <v>1.5578096424864851E-2</v>
      </c>
      <c r="AK45" s="16">
        <v>5.5281492785425157E-2</v>
      </c>
      <c r="AL45" s="16">
        <v>3.1740376294743688E-2</v>
      </c>
      <c r="AM45" s="16">
        <v>9.2526860456455529E-3</v>
      </c>
      <c r="AN45" s="16">
        <v>7.9181114068346492E-2</v>
      </c>
      <c r="AO45" s="16">
        <v>2.1655299980179676E-2</v>
      </c>
      <c r="AP45" s="16">
        <v>4.4303219979011987E-2</v>
      </c>
      <c r="AQ45" s="16">
        <v>3.659293579651357E-2</v>
      </c>
      <c r="AR45" s="16">
        <v>2.9161082194377408E-2</v>
      </c>
      <c r="AS45" s="16">
        <v>3.7279953714122405E-2</v>
      </c>
      <c r="AT45" s="16">
        <v>5.6920852091607133E-2</v>
      </c>
      <c r="AU45" s="16">
        <v>7.7596778049316195E-2</v>
      </c>
      <c r="AV45" s="16">
        <v>4.251050957762792E-2</v>
      </c>
      <c r="AW45" s="16">
        <v>4.8332434221226128E-2</v>
      </c>
      <c r="AX45" s="16">
        <v>1.4648516843942194E-2</v>
      </c>
      <c r="AY45" s="16">
        <v>3.4217421878165788E-2</v>
      </c>
      <c r="AZ45" s="16">
        <v>3.3574504913307379E-2</v>
      </c>
      <c r="BA45" s="16">
        <v>5.3019417678707215E-2</v>
      </c>
      <c r="BB45" s="16">
        <v>2.6330671658082005E-2</v>
      </c>
      <c r="BC45" s="16">
        <v>5.1869741229351507E-2</v>
      </c>
      <c r="BD45" s="16">
        <v>2.7649341880167766E-2</v>
      </c>
      <c r="BE45" s="16">
        <v>4.9019816749717227E-2</v>
      </c>
      <c r="BF45" s="16">
        <v>1.1556709534352727E-2</v>
      </c>
      <c r="BG45" s="16">
        <v>5.2756346558945011E-2</v>
      </c>
      <c r="BH45" s="16">
        <v>4.7357738652018089E-2</v>
      </c>
      <c r="BI45" s="16">
        <v>4.1095676383025137E-2</v>
      </c>
      <c r="BJ45" s="16">
        <v>5.0280266456687261E-2</v>
      </c>
      <c r="BK45" s="16">
        <v>3.7282549228328743E-2</v>
      </c>
      <c r="BL45" s="16">
        <v>5.7401249022568712E-2</v>
      </c>
      <c r="BM45" s="16">
        <v>4.9601018355826643E-2</v>
      </c>
      <c r="BN45" s="16">
        <v>2.8200639815423312E-2</v>
      </c>
      <c r="BO45" s="16">
        <v>4.2451717155395863E-2</v>
      </c>
      <c r="BP45" s="16">
        <v>8.8156761675344253E-2</v>
      </c>
      <c r="BQ45" s="16">
        <v>4.0137179482317098E-2</v>
      </c>
      <c r="BR45" s="16">
        <v>2.6828931489491836E-2</v>
      </c>
      <c r="BS45" s="16">
        <v>3.6684486709874009E-2</v>
      </c>
      <c r="BT45" s="16">
        <v>6.4669659858501261E-2</v>
      </c>
      <c r="BU45" s="16">
        <v>7.7074526784384201E-3</v>
      </c>
      <c r="BV45" s="16">
        <v>0.10238766073050598</v>
      </c>
      <c r="BW45" s="16">
        <v>3.9316465839830617E-2</v>
      </c>
      <c r="BX45" s="16">
        <v>6.2188084970451585E-2</v>
      </c>
      <c r="BY45" s="16">
        <v>6.8603035175762384E-2</v>
      </c>
      <c r="BZ45" s="16">
        <v>2.7708076413990201E-2</v>
      </c>
      <c r="CA45" s="16">
        <v>2.5894051864467915E-3</v>
      </c>
      <c r="CB45" s="16">
        <v>9.983248365273889E-2</v>
      </c>
      <c r="CC45" s="16">
        <v>4.2704736067566196E-2</v>
      </c>
      <c r="CD45" s="16">
        <v>5.9418763423723542E-2</v>
      </c>
      <c r="CE45" s="16">
        <v>4.5179946610682808E-2</v>
      </c>
      <c r="CF45" s="16">
        <v>3.4650363289474462E-2</v>
      </c>
      <c r="CG45" s="16">
        <v>3.7937444348871918E-2</v>
      </c>
      <c r="CH45" s="16">
        <v>1.0679671437982541E-2</v>
      </c>
      <c r="CI45" s="16">
        <v>1.7855832008431771E-2</v>
      </c>
      <c r="CJ45" s="16">
        <v>6.6919620117448009E-2</v>
      </c>
      <c r="CK45" s="16">
        <v>1.6425613535184569E-2</v>
      </c>
      <c r="CL45" s="16">
        <v>3.0354811573904739E-2</v>
      </c>
      <c r="CM45" s="16">
        <v>1.5152917155444534E-2</v>
      </c>
      <c r="CN45" s="16">
        <v>4.9194448134550872E-2</v>
      </c>
      <c r="CO45" s="16">
        <v>6.6348622365120735E-2</v>
      </c>
      <c r="CP45" s="16">
        <v>1.761525671424069E-2</v>
      </c>
      <c r="CQ45" s="16">
        <v>3.5848843954684018E-2</v>
      </c>
      <c r="CR45" s="16">
        <v>2.7686346402321815E-2</v>
      </c>
      <c r="CS45" s="16">
        <v>9.6435091144395635E-3</v>
      </c>
      <c r="CT45" s="16">
        <v>5.2646345503573944E-2</v>
      </c>
      <c r="CU45" s="16">
        <v>8.3831063287511665E-3</v>
      </c>
      <c r="CV45" s="16">
        <v>4.8793527700816908E-2</v>
      </c>
      <c r="CW45" s="16">
        <v>5.4643459762142244E-2</v>
      </c>
      <c r="CX45" s="16">
        <v>1.8638297895037459E-2</v>
      </c>
      <c r="CY45" s="16">
        <v>7.8791804155265321E-2</v>
      </c>
      <c r="CZ45" s="16">
        <v>1.1499212190727026E-2</v>
      </c>
      <c r="DA45" s="16">
        <v>4.1801057471932745E-2</v>
      </c>
      <c r="DB45" s="16">
        <v>5.8367204925284688E-2</v>
      </c>
      <c r="DC45" s="16">
        <v>2.830206355773679E-2</v>
      </c>
      <c r="DD45" s="16">
        <v>3.640925889734048E-2</v>
      </c>
      <c r="DE45" s="16">
        <v>4.1941740554013673E-2</v>
      </c>
      <c r="DF45" s="16">
        <v>2.9667115537770905E-2</v>
      </c>
      <c r="DG45" s="16">
        <v>6.1472600581760073E-2</v>
      </c>
      <c r="DH45" s="16">
        <v>6.1503260428721451E-2</v>
      </c>
      <c r="DI45" s="16">
        <v>2.905201753954656E-2</v>
      </c>
      <c r="DJ45" s="16">
        <v>2.2440806048602768E-2</v>
      </c>
      <c r="DK45" s="16">
        <v>2.6322483760195747E-2</v>
      </c>
      <c r="DL45" s="16">
        <v>1.6221278227183777E-2</v>
      </c>
      <c r="DM45" s="16">
        <v>1.9774085739352354E-2</v>
      </c>
      <c r="DN45" s="16">
        <v>9.1703710214082745E-3</v>
      </c>
    </row>
    <row r="46" spans="4:118" x14ac:dyDescent="0.2">
      <c r="D46" s="13">
        <v>38</v>
      </c>
      <c r="E46" s="14">
        <f>1-IFERROR(_xlfn.LOGNORM.DIST(D46,Parameter!$G$6,Parameter!$G$7,TRUE),0)</f>
        <v>3.7725946181041192E-2</v>
      </c>
      <c r="F46" s="15">
        <f t="shared" si="0"/>
        <v>8.2743011625055096E-2</v>
      </c>
      <c r="G46" s="15">
        <f t="shared" si="1"/>
        <v>8.4824117322236051E-3</v>
      </c>
      <c r="R46" s="14">
        <f ca="1">1-IFERROR(_xlfn.LOGNORM.DIST($D46,Parameter!$E$6,Parameter!$E$7,TRUE),0)</f>
        <v>3.6654619014566348E-2</v>
      </c>
      <c r="S46" s="16">
        <v>1.4993614975982505E-2</v>
      </c>
      <c r="T46" s="16">
        <v>1.5322419172309365E-2</v>
      </c>
      <c r="U46" s="16">
        <v>4.5053051170309555E-2</v>
      </c>
      <c r="V46" s="16">
        <v>7.6193038502235799E-2</v>
      </c>
      <c r="W46" s="16">
        <v>2.6106124867795288E-2</v>
      </c>
      <c r="X46" s="16">
        <v>2.2098729232414516E-2</v>
      </c>
      <c r="Y46" s="16">
        <v>1.2209915715055919E-2</v>
      </c>
      <c r="Z46" s="16">
        <v>3.1784196406408283E-2</v>
      </c>
      <c r="AA46" s="16">
        <v>5.8328337792417195E-2</v>
      </c>
      <c r="AB46" s="16">
        <v>5.2521526145655528E-2</v>
      </c>
      <c r="AC46" s="16">
        <v>3.2660190143013801E-2</v>
      </c>
      <c r="AD46" s="16">
        <v>3.2790603322167988E-2</v>
      </c>
      <c r="AE46" s="16">
        <v>3.5907074518537141E-2</v>
      </c>
      <c r="AF46" s="16">
        <v>4.7768047003648562E-2</v>
      </c>
      <c r="AG46" s="16">
        <v>3.3427567014812309E-2</v>
      </c>
      <c r="AH46" s="16">
        <v>4.7237674236178417E-2</v>
      </c>
      <c r="AI46" s="16">
        <v>1.5383450852924363E-2</v>
      </c>
      <c r="AJ46" s="16">
        <v>1.5159908724740823E-2</v>
      </c>
      <c r="AK46" s="16">
        <v>5.4440549666347149E-2</v>
      </c>
      <c r="AL46" s="16">
        <v>3.1108575898852631E-2</v>
      </c>
      <c r="AM46" s="16">
        <v>8.9511539331447176E-3</v>
      </c>
      <c r="AN46" s="16">
        <v>7.8005181628457709E-2</v>
      </c>
      <c r="AO46" s="16">
        <v>2.1150430437486767E-2</v>
      </c>
      <c r="AP46" s="16">
        <v>4.3565914084262025E-2</v>
      </c>
      <c r="AQ46" s="16">
        <v>3.5945815101197098E-2</v>
      </c>
      <c r="AR46" s="16">
        <v>2.846616923514611E-2</v>
      </c>
      <c r="AS46" s="16">
        <v>3.653946827823229E-2</v>
      </c>
      <c r="AT46" s="16">
        <v>5.5976205172596938E-2</v>
      </c>
      <c r="AU46" s="16">
        <v>7.643205821249599E-2</v>
      </c>
      <c r="AV46" s="16">
        <v>4.1630836925691028E-2</v>
      </c>
      <c r="AW46" s="16">
        <v>4.7563414023360506E-2</v>
      </c>
      <c r="AX46" s="16">
        <v>1.4251689500485276E-2</v>
      </c>
      <c r="AY46" s="16">
        <v>3.3418260951249001E-2</v>
      </c>
      <c r="AZ46" s="16">
        <v>3.290719635123418E-2</v>
      </c>
      <c r="BA46" s="16">
        <v>5.1925743723058693E-2</v>
      </c>
      <c r="BB46" s="16">
        <v>2.5719890577697524E-2</v>
      </c>
      <c r="BC46" s="16">
        <v>5.0832093620728824E-2</v>
      </c>
      <c r="BD46" s="16">
        <v>2.7123895387751618E-2</v>
      </c>
      <c r="BE46" s="16">
        <v>4.8130249226451594E-2</v>
      </c>
      <c r="BF46" s="16">
        <v>1.1207719485548773E-2</v>
      </c>
      <c r="BG46" s="16">
        <v>5.1701190909687167E-2</v>
      </c>
      <c r="BH46" s="16">
        <v>4.6535709748218523E-2</v>
      </c>
      <c r="BI46" s="16">
        <v>4.0364231819245533E-2</v>
      </c>
      <c r="BJ46" s="16">
        <v>4.93866337331057E-2</v>
      </c>
      <c r="BK46" s="16">
        <v>3.6599867225087457E-2</v>
      </c>
      <c r="BL46" s="16">
        <v>5.6316946880664576E-2</v>
      </c>
      <c r="BM46" s="16">
        <v>4.8717259708416116E-2</v>
      </c>
      <c r="BN46" s="16">
        <v>2.7536149233521767E-2</v>
      </c>
      <c r="BO46" s="16">
        <v>4.1673348160536916E-2</v>
      </c>
      <c r="BP46" s="16">
        <v>8.702961971721479E-2</v>
      </c>
      <c r="BQ46" s="16">
        <v>3.9430467103043432E-2</v>
      </c>
      <c r="BR46" s="16">
        <v>2.6206400323119938E-2</v>
      </c>
      <c r="BS46" s="16">
        <v>3.6032169040425055E-2</v>
      </c>
      <c r="BT46" s="16">
        <v>6.3485645981200101E-2</v>
      </c>
      <c r="BU46" s="16">
        <v>7.4511526378489013E-3</v>
      </c>
      <c r="BV46" s="16">
        <v>0.10111476825882182</v>
      </c>
      <c r="BW46" s="16">
        <v>3.8534765870479881E-2</v>
      </c>
      <c r="BX46" s="16">
        <v>6.1044168923839237E-2</v>
      </c>
      <c r="BY46" s="16">
        <v>6.7589784699017552E-2</v>
      </c>
      <c r="BZ46" s="16">
        <v>2.7024601740024856E-2</v>
      </c>
      <c r="CA46" s="16">
        <v>2.480024923523505E-3</v>
      </c>
      <c r="CB46" s="16">
        <v>9.8387096677093444E-2</v>
      </c>
      <c r="CC46" s="16">
        <v>4.1813747036651083E-2</v>
      </c>
      <c r="CD46" s="16">
        <v>5.8438076166093422E-2</v>
      </c>
      <c r="CE46" s="16">
        <v>4.4378141566126073E-2</v>
      </c>
      <c r="CF46" s="16">
        <v>3.3961228009738775E-2</v>
      </c>
      <c r="CG46" s="16">
        <v>3.7149424231513795E-2</v>
      </c>
      <c r="CH46" s="16">
        <v>1.0364290935005016E-2</v>
      </c>
      <c r="CI46" s="16">
        <v>1.7472249390978578E-2</v>
      </c>
      <c r="CJ46" s="16">
        <v>6.5870021019674319E-2</v>
      </c>
      <c r="CK46" s="16">
        <v>1.5987493064125946E-2</v>
      </c>
      <c r="CL46" s="16">
        <v>2.9666201220105437E-2</v>
      </c>
      <c r="CM46" s="16">
        <v>1.4772312470630933E-2</v>
      </c>
      <c r="CN46" s="16">
        <v>4.8365624445359634E-2</v>
      </c>
      <c r="CO46" s="16">
        <v>6.5274193362269362E-2</v>
      </c>
      <c r="CP46" s="16">
        <v>1.7149786669516387E-2</v>
      </c>
      <c r="CQ46" s="16">
        <v>3.5130911736416692E-2</v>
      </c>
      <c r="CR46" s="16">
        <v>2.7090252492745659E-2</v>
      </c>
      <c r="CS46" s="16">
        <v>9.3614737492950795E-3</v>
      </c>
      <c r="CT46" s="16">
        <v>5.1488035608286298E-2</v>
      </c>
      <c r="CU46" s="16">
        <v>8.1170919064798008E-3</v>
      </c>
      <c r="CV46" s="16">
        <v>4.7959651110878632E-2</v>
      </c>
      <c r="CW46" s="16">
        <v>5.3715935434650142E-2</v>
      </c>
      <c r="CX46" s="16">
        <v>1.8226145074742073E-2</v>
      </c>
      <c r="CY46" s="16">
        <v>7.7578796877395106E-2</v>
      </c>
      <c r="CZ46" s="16">
        <v>1.1138031625139377E-2</v>
      </c>
      <c r="DA46" s="16">
        <v>4.1105485971134836E-2</v>
      </c>
      <c r="DB46" s="16">
        <v>5.7167553992407139E-2</v>
      </c>
      <c r="DC46" s="16">
        <v>2.7596840311352788E-2</v>
      </c>
      <c r="DD46" s="16">
        <v>3.5534026190348511E-2</v>
      </c>
      <c r="DE46" s="16">
        <v>4.1120303848431239E-2</v>
      </c>
      <c r="DF46" s="16">
        <v>2.9074429370701815E-2</v>
      </c>
      <c r="DG46" s="16">
        <v>6.0530285585682519E-2</v>
      </c>
      <c r="DH46" s="16">
        <v>6.0482237745594136E-2</v>
      </c>
      <c r="DI46" s="16">
        <v>2.842138080888279E-2</v>
      </c>
      <c r="DJ46" s="16">
        <v>2.1888441941365189E-2</v>
      </c>
      <c r="DK46" s="16">
        <v>2.5771362383587237E-2</v>
      </c>
      <c r="DL46" s="16">
        <v>1.5839361349568648E-2</v>
      </c>
      <c r="DM46" s="16">
        <v>1.9285674565476807E-2</v>
      </c>
      <c r="DN46" s="16">
        <v>8.8861862764667565E-3</v>
      </c>
    </row>
    <row r="47" spans="4:118" x14ac:dyDescent="0.2">
      <c r="D47" s="13">
        <v>39</v>
      </c>
      <c r="E47" s="14">
        <f>1-IFERROR(_xlfn.LOGNORM.DIST(D47,Parameter!$G$6,Parameter!$G$7,TRUE),0)</f>
        <v>3.6998483101024493E-2</v>
      </c>
      <c r="F47" s="15">
        <f t="shared" si="0"/>
        <v>8.1634099518166151E-2</v>
      </c>
      <c r="G47" s="15">
        <f t="shared" si="1"/>
        <v>8.2221985318648907E-3</v>
      </c>
      <c r="R47" s="14">
        <f ca="1">1-IFERROR(_xlfn.LOGNORM.DIST($D47,Parameter!$E$6,Parameter!$E$7,TRUE),0)</f>
        <v>3.590403789652219E-2</v>
      </c>
      <c r="S47" s="16">
        <v>1.4644896745578673E-2</v>
      </c>
      <c r="T47" s="16">
        <v>1.4937728203913481E-2</v>
      </c>
      <c r="U47" s="16">
        <v>4.4136865782939516E-2</v>
      </c>
      <c r="V47" s="16">
        <v>7.5062454397283207E-2</v>
      </c>
      <c r="W47" s="16">
        <v>2.5577966551970754E-2</v>
      </c>
      <c r="X47" s="16">
        <v>2.1546532964078602E-2</v>
      </c>
      <c r="Y47" s="16">
        <v>1.1883215052125307E-2</v>
      </c>
      <c r="Z47" s="16">
        <v>3.1204684410881423E-2</v>
      </c>
      <c r="AA47" s="16">
        <v>5.7395191741569596E-2</v>
      </c>
      <c r="AB47" s="16">
        <v>5.1504277767327356E-2</v>
      </c>
      <c r="AC47" s="16">
        <v>3.1995283440390043E-2</v>
      </c>
      <c r="AD47" s="16">
        <v>3.2130147188667468E-2</v>
      </c>
      <c r="AE47" s="16">
        <v>3.5207855585905223E-2</v>
      </c>
      <c r="AF47" s="16">
        <v>4.6904088984901171E-2</v>
      </c>
      <c r="AG47" s="16">
        <v>3.2584509468554179E-2</v>
      </c>
      <c r="AH47" s="16">
        <v>4.6468486166271306E-2</v>
      </c>
      <c r="AI47" s="16">
        <v>1.5008788082630842E-2</v>
      </c>
      <c r="AJ47" s="16">
        <v>1.4761893482202693E-2</v>
      </c>
      <c r="AK47" s="16">
        <v>5.3631211092039832E-2</v>
      </c>
      <c r="AL47" s="16">
        <v>3.0503225883704466E-2</v>
      </c>
      <c r="AM47" s="16">
        <v>8.6657663231046733E-3</v>
      </c>
      <c r="AN47" s="16">
        <v>7.6872581355608482E-2</v>
      </c>
      <c r="AO47" s="16">
        <v>2.066828439510715E-2</v>
      </c>
      <c r="AP47" s="16">
        <v>4.2857313301076672E-2</v>
      </c>
      <c r="AQ47" s="16">
        <v>3.5324546627729436E-2</v>
      </c>
      <c r="AR47" s="16">
        <v>2.7802608330668499E-2</v>
      </c>
      <c r="AS47" s="16">
        <v>3.5829830703643983E-2</v>
      </c>
      <c r="AT47" s="16">
        <v>5.5068028269619318E-2</v>
      </c>
      <c r="AU47" s="16">
        <v>7.5310427914417666E-2</v>
      </c>
      <c r="AV47" s="16">
        <v>4.0788249189296244E-2</v>
      </c>
      <c r="AW47" s="16">
        <v>4.6823824045129636E-2</v>
      </c>
      <c r="AX47" s="16">
        <v>1.3874107714133666E-2</v>
      </c>
      <c r="AY47" s="16">
        <v>3.2654697105784503E-2</v>
      </c>
      <c r="AZ47" s="16">
        <v>3.2267769938887136E-2</v>
      </c>
      <c r="BA47" s="16">
        <v>5.0877789105512439E-2</v>
      </c>
      <c r="BB47" s="16">
        <v>2.5136421374539641E-2</v>
      </c>
      <c r="BC47" s="16">
        <v>4.9837356688115064E-2</v>
      </c>
      <c r="BD47" s="16">
        <v>2.6620134809418383E-2</v>
      </c>
      <c r="BE47" s="16">
        <v>4.7276254761427827E-2</v>
      </c>
      <c r="BF47" s="16">
        <v>1.0876639968431134E-2</v>
      </c>
      <c r="BG47" s="16">
        <v>5.0689641004261321E-2</v>
      </c>
      <c r="BH47" s="16">
        <v>4.5746082711158542E-2</v>
      </c>
      <c r="BI47" s="16">
        <v>3.9661986537743332E-2</v>
      </c>
      <c r="BJ47" s="16">
        <v>4.8528449456076594E-2</v>
      </c>
      <c r="BK47" s="16">
        <v>3.5944784601372071E-2</v>
      </c>
      <c r="BL47" s="16">
        <v>5.5276397809566502E-2</v>
      </c>
      <c r="BM47" s="16">
        <v>4.7868602931882887E-2</v>
      </c>
      <c r="BN47" s="16">
        <v>2.6901519924900308E-2</v>
      </c>
      <c r="BO47" s="16">
        <v>4.092635234250297E-2</v>
      </c>
      <c r="BP47" s="16">
        <v>8.5942139760480374E-2</v>
      </c>
      <c r="BQ47" s="16">
        <v>3.8751877985324423E-2</v>
      </c>
      <c r="BR47" s="16">
        <v>2.5611697639406295E-2</v>
      </c>
      <c r="BS47" s="16">
        <v>3.5405960083595756E-2</v>
      </c>
      <c r="BT47" s="16">
        <v>6.23486760822346E-2</v>
      </c>
      <c r="BU47" s="16">
        <v>7.2087600090028348E-3</v>
      </c>
      <c r="BV47" s="16">
        <v>9.9886067341113827E-2</v>
      </c>
      <c r="BW47" s="16">
        <v>3.7785595158420393E-2</v>
      </c>
      <c r="BX47" s="16">
        <v>5.9945845427437527E-2</v>
      </c>
      <c r="BY47" s="16">
        <v>6.6614010076733621E-2</v>
      </c>
      <c r="BZ47" s="16">
        <v>2.6372466199749978E-2</v>
      </c>
      <c r="CA47" s="16">
        <v>2.3775206598409815E-3</v>
      </c>
      <c r="CB47" s="16">
        <v>9.699404690450053E-2</v>
      </c>
      <c r="CC47" s="16">
        <v>4.0960434502861132E-2</v>
      </c>
      <c r="CD47" s="16">
        <v>5.749512837475601E-2</v>
      </c>
      <c r="CE47" s="16">
        <v>4.3608227856584802E-2</v>
      </c>
      <c r="CF47" s="16">
        <v>3.3300870769697122E-2</v>
      </c>
      <c r="CG47" s="16">
        <v>3.639478438817223E-2</v>
      </c>
      <c r="CH47" s="16">
        <v>1.0064939932118544E-2</v>
      </c>
      <c r="CI47" s="16">
        <v>1.7105417088183694E-2</v>
      </c>
      <c r="CJ47" s="16">
        <v>6.4859997149133153E-2</v>
      </c>
      <c r="CK47" s="16">
        <v>1.5570422387635841E-2</v>
      </c>
      <c r="CL47" s="16">
        <v>2.9007991262435473E-2</v>
      </c>
      <c r="CM47" s="16">
        <v>1.4409528668484439E-2</v>
      </c>
      <c r="CN47" s="16">
        <v>4.7569105745708495E-2</v>
      </c>
      <c r="CO47" s="16">
        <v>6.4240699947554214E-2</v>
      </c>
      <c r="CP47" s="16">
        <v>1.6706553302771265E-2</v>
      </c>
      <c r="CQ47" s="16">
        <v>3.4443012643026738E-2</v>
      </c>
      <c r="CR47" s="16">
        <v>2.6519977424339758E-2</v>
      </c>
      <c r="CS47" s="16">
        <v>9.0937286108052628E-3</v>
      </c>
      <c r="CT47" s="16">
        <v>5.0379389149452836E-2</v>
      </c>
      <c r="CU47" s="16">
        <v>7.8651483228246999E-3</v>
      </c>
      <c r="CV47" s="16">
        <v>4.7158440893775522E-2</v>
      </c>
      <c r="CW47" s="16">
        <v>5.2824536596978611E-2</v>
      </c>
      <c r="CX47" s="16">
        <v>1.7832190676600357E-2</v>
      </c>
      <c r="CY47" s="16">
        <v>7.6410982819908657E-2</v>
      </c>
      <c r="CZ47" s="16">
        <v>1.079575801758248E-2</v>
      </c>
      <c r="DA47" s="16">
        <v>4.0437035561827206E-2</v>
      </c>
      <c r="DB47" s="16">
        <v>5.601780785122823E-2</v>
      </c>
      <c r="DC47" s="16">
        <v>2.6924079130711154E-2</v>
      </c>
      <c r="DD47" s="16">
        <v>3.4698186291803879E-2</v>
      </c>
      <c r="DE47" s="16">
        <v>4.0332794818321083E-2</v>
      </c>
      <c r="DF47" s="16">
        <v>2.8506630734323912E-2</v>
      </c>
      <c r="DG47" s="16">
        <v>5.9623350795180441E-2</v>
      </c>
      <c r="DH47" s="16">
        <v>5.9500535394453991E-2</v>
      </c>
      <c r="DI47" s="16">
        <v>2.7818117873951165E-2</v>
      </c>
      <c r="DJ47" s="16">
        <v>2.1361508422032105E-2</v>
      </c>
      <c r="DK47" s="16">
        <v>2.5243874610774264E-2</v>
      </c>
      <c r="DL47" s="16">
        <v>1.5474804711672507E-2</v>
      </c>
      <c r="DM47" s="16">
        <v>1.8819845190543916E-2</v>
      </c>
      <c r="DN47" s="16">
        <v>8.6168329734356286E-3</v>
      </c>
    </row>
    <row r="48" spans="4:118" x14ac:dyDescent="0.2">
      <c r="D48" s="13">
        <v>40</v>
      </c>
      <c r="E48" s="14">
        <f>1-IFERROR(_xlfn.LOGNORM.DIST(D48,Parameter!$G$6,Parameter!$G$7,TRUE),0)</f>
        <v>3.6300513715541549E-2</v>
      </c>
      <c r="F48" s="15">
        <f t="shared" si="0"/>
        <v>8.0564153098727095E-2</v>
      </c>
      <c r="G48" s="15">
        <f t="shared" si="1"/>
        <v>7.9753493029498072E-3</v>
      </c>
      <c r="R48" s="14">
        <f ca="1">1-IFERROR(_xlfn.LOGNORM.DIST($D48,Parameter!$E$6,Parameter!$E$7,TRUE),0)</f>
        <v>3.5184624320983238E-2</v>
      </c>
      <c r="S48" s="16">
        <v>1.4311746073202514E-2</v>
      </c>
      <c r="T48" s="16">
        <v>1.4570797219165321E-2</v>
      </c>
      <c r="U48" s="16">
        <v>4.3258391077253155E-2</v>
      </c>
      <c r="V48" s="16">
        <v>7.397285196843717E-2</v>
      </c>
      <c r="W48" s="16">
        <v>2.5071819915317928E-2</v>
      </c>
      <c r="X48" s="16">
        <v>2.1019585405935293E-2</v>
      </c>
      <c r="Y48" s="16">
        <v>1.1572111120097817E-2</v>
      </c>
      <c r="Z48" s="16">
        <v>3.0648283172338364E-2</v>
      </c>
      <c r="AA48" s="16">
        <v>5.6497014770635845E-2</v>
      </c>
      <c r="AB48" s="16">
        <v>5.0527924356679743E-2</v>
      </c>
      <c r="AC48" s="16">
        <v>3.1358008276368143E-2</v>
      </c>
      <c r="AD48" s="16">
        <v>3.1497020153376187E-2</v>
      </c>
      <c r="AE48" s="16">
        <v>3.4537128607551537E-2</v>
      </c>
      <c r="AF48" s="16">
        <v>4.6074110440365579E-2</v>
      </c>
      <c r="AG48" s="16">
        <v>3.1779750898636827E-2</v>
      </c>
      <c r="AH48" s="16">
        <v>4.5728480084201606E-2</v>
      </c>
      <c r="AI48" s="16">
        <v>1.4651186211386058E-2</v>
      </c>
      <c r="AJ48" s="16">
        <v>1.4382638468140363E-2</v>
      </c>
      <c r="AK48" s="16">
        <v>5.2851565475229401E-2</v>
      </c>
      <c r="AL48" s="16">
        <v>2.9922625724197682E-2</v>
      </c>
      <c r="AM48" s="16">
        <v>8.395315514701851E-3</v>
      </c>
      <c r="AN48" s="16">
        <v>7.5780731184234451E-2</v>
      </c>
      <c r="AO48" s="16">
        <v>2.0207336719718749E-2</v>
      </c>
      <c r="AP48" s="16">
        <v>4.2175646205626527E-2</v>
      </c>
      <c r="AQ48" s="16">
        <v>3.4727510529246386E-2</v>
      </c>
      <c r="AR48" s="16">
        <v>2.7168300499393006E-2</v>
      </c>
      <c r="AS48" s="16">
        <v>3.5149066906200899E-2</v>
      </c>
      <c r="AT48" s="16">
        <v>5.419408784644153E-2</v>
      </c>
      <c r="AU48" s="16">
        <v>7.4229313958053877E-2</v>
      </c>
      <c r="AV48" s="16">
        <v>3.9980363479409475E-2</v>
      </c>
      <c r="AW48" s="16">
        <v>4.6111865363445803E-2</v>
      </c>
      <c r="AX48" s="16">
        <v>1.351441912552076E-2</v>
      </c>
      <c r="AY48" s="16">
        <v>3.1924368998744956E-2</v>
      </c>
      <c r="AZ48" s="16">
        <v>3.1654436171391631E-2</v>
      </c>
      <c r="BA48" s="16">
        <v>4.9872640197811791E-2</v>
      </c>
      <c r="BB48" s="16">
        <v>2.4578441707470033E-2</v>
      </c>
      <c r="BC48" s="16">
        <v>4.8882809084856094E-2</v>
      </c>
      <c r="BD48" s="16">
        <v>2.6136674149088601E-2</v>
      </c>
      <c r="BE48" s="16">
        <v>4.6455612050707917E-2</v>
      </c>
      <c r="BF48" s="16">
        <v>1.056216736559068E-2</v>
      </c>
      <c r="BG48" s="16">
        <v>4.9718933208395488E-2</v>
      </c>
      <c r="BH48" s="16">
        <v>4.4986847520064877E-2</v>
      </c>
      <c r="BI48" s="16">
        <v>3.8987114242593601E-2</v>
      </c>
      <c r="BJ48" s="16">
        <v>4.7703509710479652E-2</v>
      </c>
      <c r="BK48" s="16">
        <v>3.5315561946481666E-2</v>
      </c>
      <c r="BL48" s="16">
        <v>5.4276865217476433E-2</v>
      </c>
      <c r="BM48" s="16">
        <v>4.70528638262947E-2</v>
      </c>
      <c r="BN48" s="16">
        <v>2.6294755980751372E-2</v>
      </c>
      <c r="BO48" s="16">
        <v>4.020875880012631E-2</v>
      </c>
      <c r="BP48" s="16">
        <v>8.4892011021363456E-2</v>
      </c>
      <c r="BQ48" s="16">
        <v>3.8099655388125764E-2</v>
      </c>
      <c r="BR48" s="16">
        <v>2.5042967395613736E-2</v>
      </c>
      <c r="BS48" s="16">
        <v>3.4804222412583075E-2</v>
      </c>
      <c r="BT48" s="16">
        <v>6.1255836265935226E-2</v>
      </c>
      <c r="BU48" s="16">
        <v>6.9792241869988114E-3</v>
      </c>
      <c r="BV48" s="16">
        <v>9.8699005370907589E-2</v>
      </c>
      <c r="BW48" s="16">
        <v>3.7066874746751854E-2</v>
      </c>
      <c r="BX48" s="16">
        <v>5.8890284059396225E-2</v>
      </c>
      <c r="BY48" s="16">
        <v>6.5673468781559663E-2</v>
      </c>
      <c r="BZ48" s="16">
        <v>2.5749551823160965E-2</v>
      </c>
      <c r="CA48" s="16">
        <v>2.2813174949050108E-3</v>
      </c>
      <c r="CB48" s="16">
        <v>9.5650255006360374E-2</v>
      </c>
      <c r="CC48" s="16">
        <v>4.0142374021518767E-2</v>
      </c>
      <c r="CD48" s="16">
        <v>5.6587613920103363E-2</v>
      </c>
      <c r="CE48" s="16">
        <v>4.286821697088572E-2</v>
      </c>
      <c r="CF48" s="16">
        <v>3.2667445846843335E-2</v>
      </c>
      <c r="CG48" s="16">
        <v>3.5671370905357769E-2</v>
      </c>
      <c r="CH48" s="16">
        <v>9.7804574302436942E-3</v>
      </c>
      <c r="CI48" s="16">
        <v>1.675422713636876E-2</v>
      </c>
      <c r="CJ48" s="16">
        <v>6.3887158093900331E-2</v>
      </c>
      <c r="CK48" s="16">
        <v>1.5172932032432529E-2</v>
      </c>
      <c r="CL48" s="16">
        <v>2.8378170920894452E-2</v>
      </c>
      <c r="CM48" s="16">
        <v>1.4063338617084864E-2</v>
      </c>
      <c r="CN48" s="16">
        <v>4.6802900102094536E-2</v>
      </c>
      <c r="CO48" s="16">
        <v>6.3245657140223233E-2</v>
      </c>
      <c r="CP48" s="16">
        <v>1.6284010481939282E-2</v>
      </c>
      <c r="CQ48" s="16">
        <v>3.3783219590518332E-2</v>
      </c>
      <c r="CR48" s="16">
        <v>2.5973828579833991E-2</v>
      </c>
      <c r="CS48" s="16">
        <v>8.8392395858399864E-3</v>
      </c>
      <c r="CT48" s="16">
        <v>4.931720104462689E-2</v>
      </c>
      <c r="CU48" s="16">
        <v>7.6262296655362771E-3</v>
      </c>
      <c r="CV48" s="16">
        <v>4.6387877617054096E-2</v>
      </c>
      <c r="CW48" s="16">
        <v>5.1967040006369092E-2</v>
      </c>
      <c r="CX48" s="16">
        <v>1.7455224113659407E-2</v>
      </c>
      <c r="CY48" s="16">
        <v>7.5285655379137895E-2</v>
      </c>
      <c r="CZ48" s="16">
        <v>1.0470999011520044E-2</v>
      </c>
      <c r="DA48" s="16">
        <v>3.9794030133973868E-2</v>
      </c>
      <c r="DB48" s="16">
        <v>5.491480013185368E-2</v>
      </c>
      <c r="DC48" s="16">
        <v>2.6281582258183778E-2</v>
      </c>
      <c r="DD48" s="16">
        <v>3.3899114559245547E-2</v>
      </c>
      <c r="DE48" s="16">
        <v>3.9577055402333805E-2</v>
      </c>
      <c r="DF48" s="16">
        <v>2.7962115789952335E-2</v>
      </c>
      <c r="DG48" s="16">
        <v>5.8749660482479982E-2</v>
      </c>
      <c r="DH48" s="16">
        <v>5.8555751203087203E-2</v>
      </c>
      <c r="DI48" s="16">
        <v>2.7240433212310733E-2</v>
      </c>
      <c r="DJ48" s="16">
        <v>2.0858278148333964E-2</v>
      </c>
      <c r="DK48" s="16">
        <v>2.4738478359436322E-2</v>
      </c>
      <c r="DL48" s="16">
        <v>1.5126433312048548E-2</v>
      </c>
      <c r="DM48" s="16">
        <v>1.8375057878703194E-2</v>
      </c>
      <c r="DN48" s="16">
        <v>8.3612183758805525E-3</v>
      </c>
    </row>
    <row r="49" spans="4:118" x14ac:dyDescent="0.2">
      <c r="D49" s="13">
        <v>41</v>
      </c>
      <c r="E49" s="14">
        <f>1-IFERROR(_xlfn.LOGNORM.DIST(D49,Parameter!$G$6,Parameter!$G$7,TRUE),0)</f>
        <v>3.5630198845638228E-2</v>
      </c>
      <c r="F49" s="15">
        <f t="shared" si="0"/>
        <v>7.9530930955848927E-2</v>
      </c>
      <c r="G49" s="15">
        <f t="shared" si="1"/>
        <v>7.7408974524330824E-3</v>
      </c>
      <c r="R49" s="14">
        <f ca="1">1-IFERROR(_xlfn.LOGNORM.DIST($D49,Parameter!$E$6,Parameter!$E$7,TRUE),0)</f>
        <v>3.4494409943469306E-2</v>
      </c>
      <c r="S49" s="16">
        <v>1.399313014687531E-2</v>
      </c>
      <c r="T49" s="16">
        <v>1.4220425757731192E-2</v>
      </c>
      <c r="U49" s="16">
        <v>4.2415263999385999E-2</v>
      </c>
      <c r="V49" s="16">
        <v>7.2921837761607766E-2</v>
      </c>
      <c r="W49" s="16">
        <v>2.4586286123461143E-2</v>
      </c>
      <c r="X49" s="16">
        <v>2.0516196169056866E-2</v>
      </c>
      <c r="Y49" s="16">
        <v>1.1275526926967538E-2</v>
      </c>
      <c r="Z49" s="16">
        <v>3.0113560641931159E-2</v>
      </c>
      <c r="AA49" s="16">
        <v>5.5631723007508849E-2</v>
      </c>
      <c r="AB49" s="16">
        <v>4.9589940189108117E-2</v>
      </c>
      <c r="AC49" s="16">
        <v>3.07466160828751E-2</v>
      </c>
      <c r="AD49" s="16">
        <v>3.0889496733107147E-2</v>
      </c>
      <c r="AE49" s="16">
        <v>3.3893111066737425E-2</v>
      </c>
      <c r="AF49" s="16">
        <v>4.5276031829719732E-2</v>
      </c>
      <c r="AG49" s="16">
        <v>3.1010752319432733E-2</v>
      </c>
      <c r="AH49" s="16">
        <v>4.5015901177813622E-2</v>
      </c>
      <c r="AI49" s="16">
        <v>1.4309500971324329E-2</v>
      </c>
      <c r="AJ49" s="16">
        <v>1.4020860481249842E-2</v>
      </c>
      <c r="AK49" s="16">
        <v>5.2099859464641907E-2</v>
      </c>
      <c r="AL49" s="16">
        <v>2.9365221485425752E-2</v>
      </c>
      <c r="AM49" s="16">
        <v>8.1387094021793116E-3</v>
      </c>
      <c r="AN49" s="16">
        <v>7.4727260253839356E-2</v>
      </c>
      <c r="AO49" s="16">
        <v>1.9766197651349349E-2</v>
      </c>
      <c r="AP49" s="16">
        <v>4.1519289999249809E-2</v>
      </c>
      <c r="AQ49" s="16">
        <v>3.4153224297372553E-2</v>
      </c>
      <c r="AR49" s="16">
        <v>2.656133232223179E-2</v>
      </c>
      <c r="AS49" s="16">
        <v>3.4495372280295644E-2</v>
      </c>
      <c r="AT49" s="16">
        <v>5.3352336537525136E-2</v>
      </c>
      <c r="AU49" s="16">
        <v>7.3186353925574266E-2</v>
      </c>
      <c r="AV49" s="16">
        <v>3.9205001710564402E-2</v>
      </c>
      <c r="AW49" s="16">
        <v>4.5425889041189604E-2</v>
      </c>
      <c r="AX49" s="16">
        <v>1.3171395279716558E-2</v>
      </c>
      <c r="AY49" s="16">
        <v>3.1225122557252294E-2</v>
      </c>
      <c r="AZ49" s="16">
        <v>3.1065559578103974E-2</v>
      </c>
      <c r="BA49" s="16">
        <v>4.8907631946045083E-2</v>
      </c>
      <c r="BB49" s="16">
        <v>2.4044290159114023E-2</v>
      </c>
      <c r="BC49" s="16">
        <v>4.7965961069145413E-2</v>
      </c>
      <c r="BD49" s="16">
        <v>2.5672246566803003E-2</v>
      </c>
      <c r="BE49" s="16">
        <v>4.5666287291961649E-2</v>
      </c>
      <c r="BF49" s="16">
        <v>1.026312043575861E-2</v>
      </c>
      <c r="BG49" s="16">
        <v>4.8786538954689318E-2</v>
      </c>
      <c r="BH49" s="16">
        <v>4.4256163227340495E-2</v>
      </c>
      <c r="BI49" s="16">
        <v>3.8337943183155865E-2</v>
      </c>
      <c r="BJ49" s="16">
        <v>4.6909796102151291E-2</v>
      </c>
      <c r="BK49" s="16">
        <v>3.4710607822947881E-2</v>
      </c>
      <c r="BL49" s="16">
        <v>5.331584331620387E-2</v>
      </c>
      <c r="BM49" s="16">
        <v>4.6268042166414003E-2</v>
      </c>
      <c r="BN49" s="16">
        <v>2.5714037823552971E-2</v>
      </c>
      <c r="BO49" s="16">
        <v>3.9518763804586965E-2</v>
      </c>
      <c r="BP49" s="16">
        <v>8.3877109210048206E-2</v>
      </c>
      <c r="BQ49" s="16">
        <v>3.7472191142946754E-2</v>
      </c>
      <c r="BR49" s="16">
        <v>2.4498517381403961E-2</v>
      </c>
      <c r="BS49" s="16">
        <v>3.4225457504413193E-2</v>
      </c>
      <c r="BT49" s="16">
        <v>6.0204456688062846E-2</v>
      </c>
      <c r="BU49" s="16">
        <v>6.7615959001000592E-3</v>
      </c>
      <c r="BV49" s="16">
        <v>9.7551234459867797E-2</v>
      </c>
      <c r="BW49" s="16">
        <v>3.6376703936835786E-2</v>
      </c>
      <c r="BX49" s="16">
        <v>5.7874891880737023E-2</v>
      </c>
      <c r="BY49" s="16">
        <v>6.4766102431282779E-2</v>
      </c>
      <c r="BZ49" s="16">
        <v>2.5153929044990919E-2</v>
      </c>
      <c r="CA49" s="16">
        <v>2.1909003154189088E-3</v>
      </c>
      <c r="CB49" s="16">
        <v>9.4352891052721044E-2</v>
      </c>
      <c r="CC49" s="16">
        <v>3.9357349689766341E-2</v>
      </c>
      <c r="CD49" s="16">
        <v>5.5713418567882811E-2</v>
      </c>
      <c r="CE49" s="16">
        <v>4.2156288232688022E-2</v>
      </c>
      <c r="CF49" s="16">
        <v>3.2059266285507704E-2</v>
      </c>
      <c r="CG49" s="16">
        <v>3.4977215667910677E-2</v>
      </c>
      <c r="CH49" s="16">
        <v>9.5097911284309777E-3</v>
      </c>
      <c r="CI49" s="16">
        <v>1.6417669135265767E-2</v>
      </c>
      <c r="CJ49" s="16">
        <v>6.2949310811671544E-2</v>
      </c>
      <c r="CK49" s="16">
        <v>1.4793686490307434E-2</v>
      </c>
      <c r="CL49" s="16">
        <v>2.7774905819652473E-2</v>
      </c>
      <c r="CM49" s="16">
        <v>1.3732626145132043E-2</v>
      </c>
      <c r="CN49" s="16">
        <v>4.6065182487545653E-2</v>
      </c>
      <c r="CO49" s="16">
        <v>6.2286785729057659E-2</v>
      </c>
      <c r="CP49" s="16">
        <v>1.5880752599518155E-2</v>
      </c>
      <c r="CQ49" s="16">
        <v>3.3149771258041083E-2</v>
      </c>
      <c r="CR49" s="16">
        <v>2.5450261147345166E-2</v>
      </c>
      <c r="CS49" s="16">
        <v>8.5970693842749579E-3</v>
      </c>
      <c r="CT49" s="16">
        <v>4.8298541594185451E-2</v>
      </c>
      <c r="CU49" s="16">
        <v>7.3993897769207839E-3</v>
      </c>
      <c r="CV49" s="16">
        <v>4.5646111326451466E-2</v>
      </c>
      <c r="CW49" s="16">
        <v>5.1141408324043236E-2</v>
      </c>
      <c r="CX49" s="16">
        <v>1.7094141756471615E-2</v>
      </c>
      <c r="CY49" s="16">
        <v>7.4200329961185751E-2</v>
      </c>
      <c r="CZ49" s="16">
        <v>1.0162493958770114E-2</v>
      </c>
      <c r="DA49" s="16">
        <v>3.9174934386394522E-2</v>
      </c>
      <c r="DB49" s="16">
        <v>5.3855633565267347E-2</v>
      </c>
      <c r="DC49" s="16">
        <v>2.5667347606867841E-2</v>
      </c>
      <c r="DD49" s="16">
        <v>3.3134417163220187E-2</v>
      </c>
      <c r="DE49" s="16">
        <v>3.8851111951452744E-2</v>
      </c>
      <c r="DF49" s="16">
        <v>2.7439419221814587E-2</v>
      </c>
      <c r="DG49" s="16">
        <v>5.7907255348674025E-2</v>
      </c>
      <c r="DH49" s="16">
        <v>5.7645682787932473E-2</v>
      </c>
      <c r="DI49" s="16">
        <v>2.6686688085036714E-2</v>
      </c>
      <c r="DJ49" s="16">
        <v>2.0377178200378765E-2</v>
      </c>
      <c r="DK49" s="16">
        <v>2.4253765868198385E-2</v>
      </c>
      <c r="DL49" s="16">
        <v>1.4793177193166196E-2</v>
      </c>
      <c r="DM49" s="16">
        <v>1.7949911009048969E-2</v>
      </c>
      <c r="DN49" s="16">
        <v>8.1183533043150957E-3</v>
      </c>
    </row>
    <row r="50" spans="4:118" x14ac:dyDescent="0.2">
      <c r="D50" s="13">
        <v>42</v>
      </c>
      <c r="E50" s="14">
        <f>1-IFERROR(_xlfn.LOGNORM.DIST(D50,Parameter!$G$6,Parameter!$G$7,TRUE),0)</f>
        <v>3.4985853310454784E-2</v>
      </c>
      <c r="F50" s="15">
        <f t="shared" si="0"/>
        <v>7.8532369540249045E-2</v>
      </c>
      <c r="G50" s="15">
        <f t="shared" si="1"/>
        <v>7.5179662160532179E-3</v>
      </c>
      <c r="R50" s="14">
        <f ca="1">1-IFERROR(_xlfn.LOGNORM.DIST($D50,Parameter!$E$6,Parameter!$E$7,TRUE),0)</f>
        <v>3.3831592521800014E-2</v>
      </c>
      <c r="S50" s="16">
        <v>1.3688106594491378E-2</v>
      </c>
      <c r="T50" s="16">
        <v>1.3885519725882478E-2</v>
      </c>
      <c r="U50" s="16">
        <v>4.160531956459923E-2</v>
      </c>
      <c r="V50" s="16">
        <v>7.1907209985061504E-2</v>
      </c>
      <c r="W50" s="16">
        <v>2.412008515760089E-2</v>
      </c>
      <c r="X50" s="16">
        <v>2.0034823333075713E-2</v>
      </c>
      <c r="Y50" s="16">
        <v>1.0992482364769574E-2</v>
      </c>
      <c r="Z50" s="16">
        <v>2.9599204379561428E-2</v>
      </c>
      <c r="AA50" s="16">
        <v>5.4797401828130199E-2</v>
      </c>
      <c r="AB50" s="16">
        <v>4.868800911241189E-2</v>
      </c>
      <c r="AC50" s="16">
        <v>3.0159506179948559E-2</v>
      </c>
      <c r="AD50" s="16">
        <v>3.030599717480198E-2</v>
      </c>
      <c r="AE50" s="16">
        <v>3.3274170054876206E-2</v>
      </c>
      <c r="AF50" s="16">
        <v>4.4507945450765085E-2</v>
      </c>
      <c r="AG50" s="16">
        <v>3.0275195456865633E-2</v>
      </c>
      <c r="AH50" s="16">
        <v>4.4329138174922678E-2</v>
      </c>
      <c r="AI50" s="16">
        <v>1.3982688977729363E-2</v>
      </c>
      <c r="AJ50" s="16">
        <v>1.3675390889651529E-2</v>
      </c>
      <c r="AK50" s="16">
        <v>5.1374481450833565E-2</v>
      </c>
      <c r="AL50" s="16">
        <v>2.8829590085324042E-2</v>
      </c>
      <c r="AM50" s="16">
        <v>7.8949580631011429E-3</v>
      </c>
      <c r="AN50" s="16">
        <v>7.3709987110106345E-2</v>
      </c>
      <c r="AO50" s="16">
        <v>1.9343597953803471E-2</v>
      </c>
      <c r="AP50" s="16">
        <v>4.0886754861525487E-2</v>
      </c>
      <c r="AQ50" s="16">
        <v>3.3600328189737239E-2</v>
      </c>
      <c r="AR50" s="16">
        <v>2.5979955678193112E-2</v>
      </c>
      <c r="AS50" s="16">
        <v>3.3867093569661222E-2</v>
      </c>
      <c r="AT50" s="16">
        <v>5.2540893659877796E-2</v>
      </c>
      <c r="AU50" s="16">
        <v>7.21793744011201E-2</v>
      </c>
      <c r="AV50" s="16">
        <v>3.8460168697733832E-2</v>
      </c>
      <c r="AW50" s="16">
        <v>4.4764380408754412E-2</v>
      </c>
      <c r="AX50" s="16">
        <v>1.2843917710966823E-2</v>
      </c>
      <c r="AY50" s="16">
        <v>3.0554988475046563E-2</v>
      </c>
      <c r="AZ50" s="16">
        <v>3.049964220713075E-2</v>
      </c>
      <c r="BA50" s="16">
        <v>4.7980321461109421E-2</v>
      </c>
      <c r="BB50" s="16">
        <v>2.3532448663290961E-2</v>
      </c>
      <c r="BC50" s="16">
        <v>4.7084529927797214E-2</v>
      </c>
      <c r="BD50" s="16">
        <v>2.5225691601432731E-2</v>
      </c>
      <c r="BE50" s="16">
        <v>4.4906414379716653E-2</v>
      </c>
      <c r="BF50" s="16">
        <v>9.9784263214713897E-3</v>
      </c>
      <c r="BG50" s="16">
        <v>4.7890139811959775E-2</v>
      </c>
      <c r="BH50" s="16">
        <v>4.35523401361253E-2</v>
      </c>
      <c r="BI50" s="16">
        <v>3.7712939786135991E-2</v>
      </c>
      <c r="BJ50" s="16">
        <v>4.6145456199975454E-2</v>
      </c>
      <c r="BK50" s="16">
        <v>3.4128463032058076E-2</v>
      </c>
      <c r="BL50" s="16">
        <v>5.2391032787293623E-2</v>
      </c>
      <c r="BM50" s="16">
        <v>4.551230229740888E-2</v>
      </c>
      <c r="BN50" s="16">
        <v>2.5157702954740735E-2</v>
      </c>
      <c r="BO50" s="16">
        <v>3.885471307051247E-2</v>
      </c>
      <c r="BP50" s="16">
        <v>8.2895477453235444E-2</v>
      </c>
      <c r="BQ50" s="16">
        <v>3.6868009922523814E-2</v>
      </c>
      <c r="BR50" s="16">
        <v>2.3976801335573339E-2</v>
      </c>
      <c r="BS50" s="16">
        <v>3.3668290996266226E-2</v>
      </c>
      <c r="BT50" s="16">
        <v>5.9192085962673779E-2</v>
      </c>
      <c r="BU50" s="16">
        <v>6.5550153787692356E-3</v>
      </c>
      <c r="BV50" s="16">
        <v>9.6440590599382148E-2</v>
      </c>
      <c r="BW50" s="16">
        <v>3.571334124190606E-2</v>
      </c>
      <c r="BX50" s="16">
        <v>5.6897288494593301E-2</v>
      </c>
      <c r="BY50" s="16">
        <v>6.3890017716556891E-2</v>
      </c>
      <c r="BZ50" s="16">
        <v>2.4583836039312135E-2</v>
      </c>
      <c r="CA50" s="16">
        <v>2.1058063926007176E-3</v>
      </c>
      <c r="CB50" s="16">
        <v>9.30993489791484E-2</v>
      </c>
      <c r="CC50" s="16">
        <v>3.8603331833291454E-2</v>
      </c>
      <c r="CD50" s="16">
        <v>5.4870599919267349E-2</v>
      </c>
      <c r="CE50" s="16">
        <v>4.1470771064676337E-2</v>
      </c>
      <c r="CF50" s="16">
        <v>3.1474786884475026E-2</v>
      </c>
      <c r="CG50" s="16">
        <v>3.4310516425350546E-2</v>
      </c>
      <c r="CH50" s="16">
        <v>9.2519850136073556E-3</v>
      </c>
      <c r="CI50" s="16">
        <v>1.6094819595320331E-2</v>
      </c>
      <c r="CJ50" s="16">
        <v>6.2044439114694927E-2</v>
      </c>
      <c r="CK50" s="16">
        <v>1.4431469232977778E-2</v>
      </c>
      <c r="CL50" s="16">
        <v>2.7196518824196159E-2</v>
      </c>
      <c r="CM50" s="16">
        <v>1.3416373694606576E-2</v>
      </c>
      <c r="CN50" s="16">
        <v>4.5354277235163498E-2</v>
      </c>
      <c r="CO50" s="16">
        <v>6.136199084509919E-2</v>
      </c>
      <c r="CP50" s="16">
        <v>1.5495498892138637E-2</v>
      </c>
      <c r="CQ50" s="16">
        <v>3.2541054329567554E-2</v>
      </c>
      <c r="CR50" s="16">
        <v>2.4947862104235052E-2</v>
      </c>
      <c r="CS50" s="16">
        <v>8.3663664791900905E-3</v>
      </c>
      <c r="CT50" s="16">
        <v>4.7320727099167126E-2</v>
      </c>
      <c r="CU50" s="16">
        <v>7.1837707032831322E-3</v>
      </c>
      <c r="CV50" s="16">
        <v>4.4931443710128471E-2</v>
      </c>
      <c r="CW50" s="16">
        <v>5.034577061044665E-2</v>
      </c>
      <c r="CX50" s="16">
        <v>1.6747935229595501E-2</v>
      </c>
      <c r="CY50" s="16">
        <v>7.3152721029139944E-2</v>
      </c>
      <c r="CZ50" s="16">
        <v>9.8690987801327568E-3</v>
      </c>
      <c r="DA50" s="16">
        <v>3.8578338985978511E-2</v>
      </c>
      <c r="DB50" s="16">
        <v>5.2837651489121673E-2</v>
      </c>
      <c r="DC50" s="16">
        <v>2.5079547289667325E-2</v>
      </c>
      <c r="DD50" s="16">
        <v>3.2401906011964465E-2</v>
      </c>
      <c r="DE50" s="16">
        <v>3.8153155576645781E-2</v>
      </c>
      <c r="DF50" s="16">
        <v>2.6937199341534934E-2</v>
      </c>
      <c r="DG50" s="16">
        <v>5.7094334168623417E-2</v>
      </c>
      <c r="DH50" s="16">
        <v>5.6768306680852421E-2</v>
      </c>
      <c r="DI50" s="16">
        <v>2.6155383552873057E-2</v>
      </c>
      <c r="DJ50" s="16">
        <v>1.9916773063355153E-2</v>
      </c>
      <c r="DK50" s="16">
        <v>2.3788449162405745E-2</v>
      </c>
      <c r="DL50" s="16">
        <v>1.4474059847211174E-2</v>
      </c>
      <c r="DM50" s="16">
        <v>1.7543125810112192E-2</v>
      </c>
      <c r="DN50" s="16">
        <v>7.8873402038517337E-3</v>
      </c>
    </row>
    <row r="51" spans="4:118" x14ac:dyDescent="0.2">
      <c r="D51" s="13">
        <v>43</v>
      </c>
      <c r="E51" s="14">
        <f>1-IFERROR(_xlfn.LOGNORM.DIST(D51,Parameter!$G$6,Parameter!$G$7,TRUE),0)</f>
        <v>3.4365929848847898E-2</v>
      </c>
      <c r="F51" s="15">
        <f t="shared" si="0"/>
        <v>7.7566565307633784E-2</v>
      </c>
      <c r="G51" s="15">
        <f t="shared" si="1"/>
        <v>7.3037632011523522E-3</v>
      </c>
      <c r="R51" s="14">
        <f ca="1">1-IFERROR(_xlfn.LOGNORM.DIST($D51,Parameter!$E$6,Parameter!$E$7,TRUE),0)</f>
        <v>3.3194518483206203E-2</v>
      </c>
      <c r="S51" s="16">
        <v>1.3395813708260706E-2</v>
      </c>
      <c r="T51" s="16">
        <v>1.3565079806625802E-2</v>
      </c>
      <c r="U51" s="16">
        <v>4.0826570191505929E-2</v>
      </c>
      <c r="V51" s="16">
        <v>7.0926939150026125E-2</v>
      </c>
      <c r="W51" s="16">
        <v>2.3672043266323994E-2</v>
      </c>
      <c r="X51" s="16">
        <v>1.9574057396666955E-2</v>
      </c>
      <c r="Y51" s="16">
        <v>1.0722083530828819E-2</v>
      </c>
      <c r="Z51" s="16">
        <v>2.9104009075043513E-2</v>
      </c>
      <c r="AA51" s="16">
        <v>5.3992288576168002E-2</v>
      </c>
      <c r="AB51" s="16">
        <v>4.7820002846872378E-2</v>
      </c>
      <c r="AC51" s="16">
        <v>2.9595210220122792E-2</v>
      </c>
      <c r="AD51" s="16">
        <v>2.9745072141419637E-2</v>
      </c>
      <c r="AE51" s="16">
        <v>3.2678806622605805E-2</v>
      </c>
      <c r="AF51" s="16">
        <v>4.3768097677857165E-2</v>
      </c>
      <c r="AG51" s="16">
        <v>2.9570959126878349E-2</v>
      </c>
      <c r="AH51" s="16">
        <v>4.3666708601727056E-2</v>
      </c>
      <c r="AI51" s="16">
        <v>1.3669796774505638E-2</v>
      </c>
      <c r="AJ51" s="16">
        <v>1.3345163081031397E-2</v>
      </c>
      <c r="AK51" s="16">
        <v>5.0673947130925434E-2</v>
      </c>
      <c r="AL51" s="16">
        <v>2.8314425566818957E-2</v>
      </c>
      <c r="AM51" s="16">
        <v>7.6631621657698989E-3</v>
      </c>
      <c r="AN51" s="16">
        <v>7.272690060419118E-2</v>
      </c>
      <c r="AO51" s="16">
        <v>1.893837599316972E-2</v>
      </c>
      <c r="AP51" s="16">
        <v>4.0276670271653936E-2</v>
      </c>
      <c r="AQ51" s="16">
        <v>3.3067572502018638E-2</v>
      </c>
      <c r="AR51" s="16">
        <v>2.5422570099296382E-2</v>
      </c>
      <c r="AS51" s="16">
        <v>3.3262713045681513E-2</v>
      </c>
      <c r="AT51" s="16">
        <v>5.175802816413555E-2</v>
      </c>
      <c r="AU51" s="16">
        <v>7.120637189118928E-2</v>
      </c>
      <c r="AV51" s="16">
        <v>3.7744033038591973E-2</v>
      </c>
      <c r="AW51" s="16">
        <v>4.4125945315998116E-2</v>
      </c>
      <c r="AX51" s="16">
        <v>1.2530965867645683E-2</v>
      </c>
      <c r="AY51" s="16">
        <v>2.9912162603433545E-2</v>
      </c>
      <c r="AZ51" s="16">
        <v>2.9955309216347703E-2</v>
      </c>
      <c r="BA51" s="16">
        <v>4.7088464947838027E-2</v>
      </c>
      <c r="BB51" s="16">
        <v>2.3041527204919143E-2</v>
      </c>
      <c r="BC51" s="16">
        <v>4.6236418505140597E-2</v>
      </c>
      <c r="BD51" s="16">
        <v>2.4795944024359029E-2</v>
      </c>
      <c r="BE51" s="16">
        <v>4.4174277596370826E-2</v>
      </c>
      <c r="BF51" s="16">
        <v>9.707108432962408E-3</v>
      </c>
      <c r="BG51" s="16">
        <v>4.7027605703024777E-2</v>
      </c>
      <c r="BH51" s="16">
        <v>4.2873824221177692E-2</v>
      </c>
      <c r="BI51" s="16">
        <v>3.7110694355849905E-2</v>
      </c>
      <c r="BJ51" s="16">
        <v>4.5408786439130489E-2</v>
      </c>
      <c r="BK51" s="16">
        <v>3.3567786873837324E-2</v>
      </c>
      <c r="BL51" s="16">
        <v>5.1500319507773007E-2</v>
      </c>
      <c r="BM51" s="16">
        <v>4.4783956173359507E-2</v>
      </c>
      <c r="BN51" s="16">
        <v>2.4624229190969626E-2</v>
      </c>
      <c r="BO51" s="16">
        <v>3.8215086268984622E-2</v>
      </c>
      <c r="BP51" s="16">
        <v>8.194530956312962E-2</v>
      </c>
      <c r="BQ51" s="16">
        <v>3.6285755497122651E-2</v>
      </c>
      <c r="BR51" s="16">
        <v>2.3476403374612653E-2</v>
      </c>
      <c r="BS51" s="16">
        <v>3.3131459808434904E-2</v>
      </c>
      <c r="BT51" s="16">
        <v>5.8216468773070851E-2</v>
      </c>
      <c r="BU51" s="16">
        <v>6.3587021379449826E-3</v>
      </c>
      <c r="BV51" s="16">
        <v>9.5365075374775676E-2</v>
      </c>
      <c r="BW51" s="16">
        <v>3.5075187762384497E-2</v>
      </c>
      <c r="BX51" s="16">
        <v>5.5955284231738567E-2</v>
      </c>
      <c r="BY51" s="16">
        <v>6.3043469696714927E-2</v>
      </c>
      <c r="BZ51" s="16">
        <v>2.4037660734033905E-2</v>
      </c>
      <c r="CA51" s="16">
        <v>2.0256190380055772E-3</v>
      </c>
      <c r="CB51" s="16">
        <v>9.1887224192387151E-2</v>
      </c>
      <c r="CC51" s="16">
        <v>3.787845753137753E-2</v>
      </c>
      <c r="CD51" s="16">
        <v>5.4057369858851123E-2</v>
      </c>
      <c r="CE51" s="16">
        <v>4.0810129489433966E-2</v>
      </c>
      <c r="CF51" s="16">
        <v>3.0912589353251585E-2</v>
      </c>
      <c r="CG51" s="16">
        <v>3.366961940026425E-2</v>
      </c>
      <c r="CH51" s="16">
        <v>9.0061686131475138E-3</v>
      </c>
      <c r="CI51" s="16">
        <v>1.578483266440267E-2</v>
      </c>
      <c r="CJ51" s="16">
        <v>6.1170685708228256E-2</v>
      </c>
      <c r="CK51" s="16">
        <v>1.4085169702073519E-2</v>
      </c>
      <c r="CL51" s="16">
        <v>2.6641473345949018E-2</v>
      </c>
      <c r="CM51" s="16">
        <v>1.3113651595278109E-2</v>
      </c>
      <c r="CN51" s="16">
        <v>4.466864269579307E-2</v>
      </c>
      <c r="CO51" s="16">
        <v>6.0469343204719195E-2</v>
      </c>
      <c r="CP51" s="16">
        <v>1.512707982270145E-2</v>
      </c>
      <c r="CQ51" s="16">
        <v>3.1955587998628188E-2</v>
      </c>
      <c r="CR51" s="16">
        <v>2.4465336260598214E-2</v>
      </c>
      <c r="CS51" s="16">
        <v>8.1463555299907675E-3</v>
      </c>
      <c r="CT51" s="16">
        <v>4.6381294203261092E-2</v>
      </c>
      <c r="CU51" s="16">
        <v>6.9785927093555244E-3</v>
      </c>
      <c r="CV51" s="16">
        <v>4.4242312505075265E-2</v>
      </c>
      <c r="CW51" s="16">
        <v>4.9578405266049841E-2</v>
      </c>
      <c r="CX51" s="16">
        <v>1.6415681225761203E-2</v>
      </c>
      <c r="CY51" s="16">
        <v>7.2140721994350065E-2</v>
      </c>
      <c r="CZ51" s="16">
        <v>9.5897728638508761E-3</v>
      </c>
      <c r="DA51" s="16">
        <v>3.8002947595669467E-2</v>
      </c>
      <c r="DB51" s="16">
        <v>5.1858412944987053E-2</v>
      </c>
      <c r="DC51" s="16">
        <v>2.451650893311752E-2</v>
      </c>
      <c r="DD51" s="16">
        <v>3.1699576901199067E-2</v>
      </c>
      <c r="DE51" s="16">
        <v>3.7481524989988357E-2</v>
      </c>
      <c r="DF51" s="16">
        <v>2.6454225097302775E-2</v>
      </c>
      <c r="DG51" s="16">
        <v>5.6309237722969807E-2</v>
      </c>
      <c r="DH51" s="16">
        <v>5.5921760064002957E-2</v>
      </c>
      <c r="DI51" s="16">
        <v>2.5645145675537773E-2</v>
      </c>
      <c r="DJ51" s="16">
        <v>1.9475749826622701E-2</v>
      </c>
      <c r="DK51" s="16">
        <v>2.3341347387447753E-2</v>
      </c>
      <c r="DL51" s="16">
        <v>1.4168188135506687E-2</v>
      </c>
      <c r="DM51" s="16">
        <v>1.7153533087850281E-2</v>
      </c>
      <c r="DN51" s="16">
        <v>7.6673628222753143E-3</v>
      </c>
    </row>
    <row r="52" spans="4:118" x14ac:dyDescent="0.2">
      <c r="D52" s="13">
        <v>44</v>
      </c>
      <c r="E52" s="14">
        <f>1-IFERROR(_xlfn.LOGNORM.DIST(D52,Parameter!$G$6,Parameter!$G$7,TRUE),0)</f>
        <v>3.3769005039742783E-2</v>
      </c>
      <c r="F52" s="15">
        <f t="shared" si="0"/>
        <v>7.6631759015743095E-2</v>
      </c>
      <c r="G52" s="15">
        <f t="shared" si="1"/>
        <v>7.0963403328688276E-3</v>
      </c>
      <c r="R52" s="14">
        <f ca="1">1-IFERROR(_xlfn.LOGNORM.DIST($D52,Parameter!$E$6,Parameter!$E$7,TRUE),0)</f>
        <v>3.2581667666573555E-2</v>
      </c>
      <c r="S52" s="16">
        <v>1.3115461918951077E-2</v>
      </c>
      <c r="T52" s="16">
        <v>1.3258191360158711E-2</v>
      </c>
      <c r="U52" s="16">
        <v>4.0077187601402109E-2</v>
      </c>
      <c r="V52" s="16">
        <v>6.9979151056350108E-2</v>
      </c>
      <c r="W52" s="16">
        <v>2.3241081992261936E-2</v>
      </c>
      <c r="X52" s="16">
        <v>1.9132607277033586E-2</v>
      </c>
      <c r="Y52" s="16">
        <v>1.0463513434769034E-2</v>
      </c>
      <c r="Z52" s="16">
        <v>2.8626865620837383E-2</v>
      </c>
      <c r="AA52" s="16">
        <v>5.3214757394015377E-2</v>
      </c>
      <c r="AB52" s="16">
        <v>4.6983961962595577E-2</v>
      </c>
      <c r="AC52" s="16">
        <v>2.9052378577797411E-2</v>
      </c>
      <c r="AD52" s="16">
        <v>2.9205389311324659E-2</v>
      </c>
      <c r="AE52" s="16">
        <v>3.2105642079132801E-2</v>
      </c>
      <c r="AF52" s="16">
        <v>4.3054873390651727E-2</v>
      </c>
      <c r="AG52" s="16">
        <v>2.8896098601207121E-2</v>
      </c>
      <c r="AH52" s="16">
        <v>4.302724585133888E-2</v>
      </c>
      <c r="AI52" s="16">
        <v>1.3369951284750159E-2</v>
      </c>
      <c r="AJ52" s="16">
        <v>1.3029201532768431E-2</v>
      </c>
      <c r="AK52" s="16">
        <v>4.9996886834615784E-2</v>
      </c>
      <c r="AL52" s="16">
        <v>2.7818527083670164E-2</v>
      </c>
      <c r="AM52" s="16">
        <v>7.4425029146792943E-3</v>
      </c>
      <c r="AN52" s="16">
        <v>7.1776143103020495E-2</v>
      </c>
      <c r="AO52" s="16">
        <v>1.8549466456749708E-2</v>
      </c>
      <c r="AP52" s="16">
        <v>3.9687773011826799E-2</v>
      </c>
      <c r="AQ52" s="16">
        <v>3.2553806414840514E-2</v>
      </c>
      <c r="AR52" s="16">
        <v>2.4887707355706779E-2</v>
      </c>
      <c r="AS52" s="16">
        <v>3.268083465451932E-2</v>
      </c>
      <c r="AT52" s="16">
        <v>5.1002143671639022E-2</v>
      </c>
      <c r="AU52" s="16">
        <v>7.0265496055298415E-2</v>
      </c>
      <c r="AV52" s="16">
        <v>3.7054910372833927E-2</v>
      </c>
      <c r="AW52" s="16">
        <v>4.3509298068778124E-2</v>
      </c>
      <c r="AX52" s="16">
        <v>1.2231606598781197E-2</v>
      </c>
      <c r="AY52" s="16">
        <v>2.9294988808585498E-2</v>
      </c>
      <c r="AZ52" s="16">
        <v>2.9431296261140938E-2</v>
      </c>
      <c r="BA52" s="16">
        <v>4.6229997485952357E-2</v>
      </c>
      <c r="BB52" s="16">
        <v>2.2570250454576057E-2</v>
      </c>
      <c r="BC52" s="16">
        <v>4.5419696384334074E-2</v>
      </c>
      <c r="BD52" s="16">
        <v>2.4382024084006693E-2</v>
      </c>
      <c r="BE52" s="16">
        <v>4.3468296435607678E-2</v>
      </c>
      <c r="BF52" s="16">
        <v>9.4482759210231526E-3</v>
      </c>
      <c r="BG52" s="16">
        <v>4.6196975812101138E-2</v>
      </c>
      <c r="BH52" s="16">
        <v>4.2219183466686516E-2</v>
      </c>
      <c r="BI52" s="16">
        <v>3.6529908540800848E-2</v>
      </c>
      <c r="BJ52" s="16">
        <v>4.4698217127564499E-2</v>
      </c>
      <c r="BK52" s="16">
        <v>3.3027345109603368E-2</v>
      </c>
      <c r="BL52" s="16">
        <v>5.0641755891140616E-2</v>
      </c>
      <c r="BM52" s="16">
        <v>4.4081448483180297E-2</v>
      </c>
      <c r="BN52" s="16">
        <v>2.4112220019244845E-2</v>
      </c>
      <c r="BO52" s="16">
        <v>3.7598483455064891E-2</v>
      </c>
      <c r="BP52" s="16">
        <v>8.1024935317730362E-2</v>
      </c>
      <c r="BQ52" s="16">
        <v>3.5724178688292918E-2</v>
      </c>
      <c r="BR52" s="16">
        <v>2.2996024389534964E-2</v>
      </c>
      <c r="BS52" s="16">
        <v>3.2613800860966657E-2</v>
      </c>
      <c r="BT52" s="16">
        <v>5.7275526223153905E-2</v>
      </c>
      <c r="BU52" s="16">
        <v>6.1719461221195759E-3</v>
      </c>
      <c r="BV52" s="16">
        <v>9.4322839868835273E-2</v>
      </c>
      <c r="BW52" s="16">
        <v>3.4460772627783798E-2</v>
      </c>
      <c r="BX52" s="16">
        <v>5.5046861009484416E-2</v>
      </c>
      <c r="BY52" s="16">
        <v>6.2224847122894777E-2</v>
      </c>
      <c r="BZ52" s="16">
        <v>2.3513925106218636E-2</v>
      </c>
      <c r="CA52" s="16">
        <v>1.949962146922557E-3</v>
      </c>
      <c r="CB52" s="16">
        <v>9.0714293867078855E-2</v>
      </c>
      <c r="CC52" s="16">
        <v>3.7181013564118293E-2</v>
      </c>
      <c r="CD52" s="16">
        <v>5.3272079147743678E-2</v>
      </c>
      <c r="CE52" s="16">
        <v>4.0172948541074449E-2</v>
      </c>
      <c r="CF52" s="16">
        <v>3.0371369318230257E-2</v>
      </c>
      <c r="CG52" s="16">
        <v>3.3053004065142555E-2</v>
      </c>
      <c r="CH52" s="16">
        <v>8.7715476557687078E-3</v>
      </c>
      <c r="CI52" s="16">
        <v>1.5486932028440425E-2</v>
      </c>
      <c r="CJ52" s="16">
        <v>6.032633641441143E-2</v>
      </c>
      <c r="CK52" s="16">
        <v>1.3753771976032669E-2</v>
      </c>
      <c r="CL52" s="16">
        <v>2.6108358748898941E-2</v>
      </c>
      <c r="CM52" s="16">
        <v>1.2823608716747481E-2</v>
      </c>
      <c r="CN52" s="16">
        <v>4.4006857779634867E-2</v>
      </c>
      <c r="CO52" s="16">
        <v>5.9607062637751063E-2</v>
      </c>
      <c r="CP52" s="16">
        <v>1.477442521419714E-2</v>
      </c>
      <c r="CQ52" s="16">
        <v>3.1392010403588633E-2</v>
      </c>
      <c r="CR52" s="16">
        <v>2.4001494057489192E-2</v>
      </c>
      <c r="CS52" s="16">
        <v>7.9363290612991522E-3</v>
      </c>
      <c r="CT52" s="16">
        <v>4.547797741503723E-2</v>
      </c>
      <c r="CU52" s="16">
        <v>6.7831456159926917E-3</v>
      </c>
      <c r="CV52" s="16">
        <v>4.3577277819797922E-2</v>
      </c>
      <c r="CW52" s="16">
        <v>4.883772506306816E-2</v>
      </c>
      <c r="CX52" s="16">
        <v>1.6096532611391989E-2</v>
      </c>
      <c r="CY52" s="16">
        <v>7.1162387543371231E-2</v>
      </c>
      <c r="CZ52" s="16">
        <v>9.3235676890098818E-3</v>
      </c>
      <c r="DA52" s="16">
        <v>3.7447565499135638E-2</v>
      </c>
      <c r="DB52" s="16">
        <v>5.0915670844762673E-2</v>
      </c>
      <c r="DC52" s="16">
        <v>2.3976699361265674E-2</v>
      </c>
      <c r="DD52" s="16">
        <v>3.1025590412211757E-2</v>
      </c>
      <c r="DE52" s="16">
        <v>3.6834691474260217E-2</v>
      </c>
      <c r="DF52" s="16">
        <v>2.5989364706997975E-2</v>
      </c>
      <c r="DG52" s="16">
        <v>5.5550434687185013E-2</v>
      </c>
      <c r="DH52" s="16">
        <v>5.510432473569471E-2</v>
      </c>
      <c r="DI52" s="16">
        <v>2.5154712571161308E-2</v>
      </c>
      <c r="DJ52" s="16">
        <v>1.905290526781056E-2</v>
      </c>
      <c r="DK52" s="16">
        <v>2.2911375733293715E-2</v>
      </c>
      <c r="DL52" s="16">
        <v>1.3874743494631026E-2</v>
      </c>
      <c r="DM52" s="16">
        <v>1.6780061648371092E-2</v>
      </c>
      <c r="DN52" s="16">
        <v>7.4576772505984268E-3</v>
      </c>
    </row>
    <row r="53" spans="4:118" x14ac:dyDescent="0.2">
      <c r="D53" s="13">
        <v>45</v>
      </c>
      <c r="E53" s="14">
        <f>1-IFERROR(_xlfn.LOGNORM.DIST(D53,Parameter!$G$6,Parameter!$G$7,TRUE),0)</f>
        <v>3.319376693451459E-2</v>
      </c>
      <c r="F53" s="15">
        <f t="shared" si="0"/>
        <v>7.5726321873546568E-2</v>
      </c>
      <c r="G53" s="15">
        <f t="shared" si="1"/>
        <v>6.8986209802873264E-3</v>
      </c>
      <c r="R53" s="14">
        <f ca="1">1-IFERROR(_xlfn.LOGNORM.DIST($D53,Parameter!$E$6,Parameter!$E$7,TRUE),0)</f>
        <v>3.1991639926967075E-2</v>
      </c>
      <c r="S53" s="16">
        <v>1.2846326336405145E-2</v>
      </c>
      <c r="T53" s="16">
        <v>1.2964015594870482E-2</v>
      </c>
      <c r="U53" s="16">
        <v>3.9355486915476745E-2</v>
      </c>
      <c r="V53" s="16">
        <v>6.9062111793844028E-2</v>
      </c>
      <c r="W53" s="16">
        <v>2.2826208545845383E-2</v>
      </c>
      <c r="X53" s="16">
        <v>1.8709288058193829E-2</v>
      </c>
      <c r="Y53" s="16">
        <v>1.0216023885386005E-2</v>
      </c>
      <c r="Z53" s="16">
        <v>2.8166751513634236E-2</v>
      </c>
      <c r="AA53" s="16">
        <v>5.2463305866446208E-2</v>
      </c>
      <c r="AB53" s="16">
        <v>4.6178079152726759E-2</v>
      </c>
      <c r="AC53" s="16">
        <v>2.8529768403286693E-2</v>
      </c>
      <c r="AD53" s="16">
        <v>2.8685721615545945E-2</v>
      </c>
      <c r="AE53" s="16">
        <v>3.1553405960034864E-2</v>
      </c>
      <c r="AF53" s="16">
        <v>4.2366782281061277E-2</v>
      </c>
      <c r="AG53" s="16">
        <v>2.8248827526661247E-2</v>
      </c>
      <c r="AH53" s="16">
        <v>4.2409487805265211E-2</v>
      </c>
      <c r="AI53" s="16">
        <v>1.3082351459602459E-2</v>
      </c>
      <c r="AJ53" s="16">
        <v>1.2726612262453307E-2</v>
      </c>
      <c r="AK53" s="16">
        <v>4.9342034362492182E-2</v>
      </c>
      <c r="AL53" s="16">
        <v>2.734078835328102E-2</v>
      </c>
      <c r="AM53" s="16">
        <v>7.2322333014321893E-3</v>
      </c>
      <c r="AN53" s="16">
        <v>7.0855995686295192E-2</v>
      </c>
      <c r="AO53" s="16">
        <v>1.8175890473007716E-2</v>
      </c>
      <c r="AP53" s="16">
        <v>3.911889661331458E-2</v>
      </c>
      <c r="AQ53" s="16">
        <v>3.2057968190344899E-2</v>
      </c>
      <c r="AR53" s="16">
        <v>2.4374017947023652E-2</v>
      </c>
      <c r="AS53" s="16">
        <v>3.2120171850412493E-2</v>
      </c>
      <c r="AT53" s="16">
        <v>5.0271765302079663E-2</v>
      </c>
      <c r="AU53" s="16">
        <v>6.9355034922520264E-2</v>
      </c>
      <c r="AV53" s="16">
        <v>3.6391248677691723E-2</v>
      </c>
      <c r="AW53" s="16">
        <v>4.2913250811101644E-2</v>
      </c>
      <c r="AX53" s="16">
        <v>1.1944984970834405E-2</v>
      </c>
      <c r="AY53" s="16">
        <v>2.8701943938325702E-2</v>
      </c>
      <c r="AZ53" s="16">
        <v>2.8926438420447509E-2</v>
      </c>
      <c r="BA53" s="16">
        <v>4.5403015256068047E-2</v>
      </c>
      <c r="BB53" s="16">
        <v>2.2117446056385992E-2</v>
      </c>
      <c r="BC53" s="16">
        <v>4.4632583342849586E-2</v>
      </c>
      <c r="BD53" s="16">
        <v>2.3983028940971596E-2</v>
      </c>
      <c r="BE53" s="16">
        <v>4.2787012254576817E-2</v>
      </c>
      <c r="BF53" s="16">
        <v>9.2011145008099593E-3</v>
      </c>
      <c r="BG53" s="16">
        <v>4.5396441798421949E-2</v>
      </c>
      <c r="BH53" s="16">
        <v>4.1587095848255151E-2</v>
      </c>
      <c r="BI53" s="16">
        <v>3.5969384314419761E-2</v>
      </c>
      <c r="BJ53" s="16">
        <v>4.4012299256547593E-2</v>
      </c>
      <c r="BK53" s="16">
        <v>3.2505999383411477E-2</v>
      </c>
      <c r="BL53" s="16">
        <v>4.9813544472080085E-2</v>
      </c>
      <c r="BM53" s="16">
        <v>4.3403343566958408E-2</v>
      </c>
      <c r="BN53" s="16">
        <v>2.3620391762982362E-2</v>
      </c>
      <c r="BO53" s="16">
        <v>3.7003613136403657E-2</v>
      </c>
      <c r="BP53" s="16">
        <v>8.0132807471536061E-2</v>
      </c>
      <c r="BQ53" s="16">
        <v>3.5182126777763556E-2</v>
      </c>
      <c r="BR53" s="16">
        <v>2.2534470124850992E-2</v>
      </c>
      <c r="BS53" s="16">
        <v>3.2114241156080414E-2</v>
      </c>
      <c r="BT53" s="16">
        <v>5.6367338541273182E-2</v>
      </c>
      <c r="BU53" s="16">
        <v>5.9941000062051497E-3</v>
      </c>
      <c r="BV53" s="16">
        <v>9.3312170449936227E-2</v>
      </c>
      <c r="BW53" s="16">
        <v>3.3868740208793935E-2</v>
      </c>
      <c r="BX53" s="16">
        <v>5.4170155485136928E-2</v>
      </c>
      <c r="BY53" s="16">
        <v>6.1432659503191989E-2</v>
      </c>
      <c r="BZ53" s="16">
        <v>2.301127142594328E-2</v>
      </c>
      <c r="CA53" s="16">
        <v>1.8784954890623817E-3</v>
      </c>
      <c r="CB53" s="16">
        <v>8.957849955813435E-2</v>
      </c>
      <c r="CC53" s="16">
        <v>3.6509421434414047E-2</v>
      </c>
      <c r="CD53" s="16">
        <v>5.2513203858263746E-2</v>
      </c>
      <c r="CE53" s="16">
        <v>3.955792231533195E-2</v>
      </c>
      <c r="CF53" s="16">
        <v>2.9849924912820014E-2</v>
      </c>
      <c r="CG53" s="16">
        <v>3.2459269775943489E-2</v>
      </c>
      <c r="CH53" s="16">
        <v>8.54739592985998E-3</v>
      </c>
      <c r="CI53" s="16">
        <v>1.5200403814937147E-2</v>
      </c>
      <c r="CJ53" s="16">
        <v>5.9509806273457477E-2</v>
      </c>
      <c r="CK53" s="16">
        <v>1.3436344866202821E-2</v>
      </c>
      <c r="CL53" s="16">
        <v>2.5595877553686197E-2</v>
      </c>
      <c r="CM53" s="16">
        <v>1.2545464295031894E-2</v>
      </c>
      <c r="CN53" s="16">
        <v>4.3367610114159794E-2</v>
      </c>
      <c r="CO53" s="16">
        <v>5.8773503578259056E-2</v>
      </c>
      <c r="CP53" s="16">
        <v>1.443655387691023E-2</v>
      </c>
      <c r="CQ53" s="16">
        <v>3.0849066716035711E-2</v>
      </c>
      <c r="CR53" s="16">
        <v>2.3555240865821947E-2</v>
      </c>
      <c r="CS53" s="16">
        <v>7.7356402094248544E-3</v>
      </c>
      <c r="CT53" s="16">
        <v>4.4608689356035347E-2</v>
      </c>
      <c r="CU53" s="16">
        <v>6.5967812611562593E-3</v>
      </c>
      <c r="CV53" s="16">
        <v>4.2935010100892179E-2</v>
      </c>
      <c r="CW53" s="16">
        <v>4.8122263971564161E-2</v>
      </c>
      <c r="CX53" s="16">
        <v>1.5789710635142007E-2</v>
      </c>
      <c r="CY53" s="16">
        <v>7.0215918058534665E-2</v>
      </c>
      <c r="CZ53" s="16">
        <v>9.0696169147262973E-3</v>
      </c>
      <c r="DA53" s="16">
        <v>3.6911089594787838E-2</v>
      </c>
      <c r="DB53" s="16">
        <v>5.0007352769637192E-2</v>
      </c>
      <c r="DC53" s="16">
        <v>2.3458710304335106E-2</v>
      </c>
      <c r="DD53" s="16">
        <v>3.0378255160723233E-2</v>
      </c>
      <c r="DE53" s="16">
        <v>3.6211245676276094E-2</v>
      </c>
      <c r="DF53" s="16">
        <v>2.5541575681180873E-2</v>
      </c>
      <c r="DG53" s="16">
        <v>5.4816509201458086E-2</v>
      </c>
      <c r="DH53" s="16">
        <v>5.4314412991771199E-2</v>
      </c>
      <c r="DI53" s="16">
        <v>2.4682923066653983E-2</v>
      </c>
      <c r="DJ53" s="16">
        <v>1.8647134546221689E-2</v>
      </c>
      <c r="DK53" s="16">
        <v>2.2497535719959383E-2</v>
      </c>
      <c r="DL53" s="16">
        <v>1.3592974240546396E-2</v>
      </c>
      <c r="DM53" s="16">
        <v>1.6421728166931882E-2</v>
      </c>
      <c r="DN53" s="16">
        <v>7.2576041208556319E-3</v>
      </c>
    </row>
    <row r="54" spans="4:118" x14ac:dyDescent="0.2">
      <c r="D54" s="13">
        <v>46</v>
      </c>
      <c r="E54" s="14">
        <f>1-IFERROR(_xlfn.LOGNORM.DIST(D54,Parameter!$G$6,Parameter!$G$7,TRUE),0)</f>
        <v>3.2639004161091223E-2</v>
      </c>
      <c r="F54" s="15">
        <f t="shared" si="0"/>
        <v>7.484874328889618E-2</v>
      </c>
      <c r="G54" s="15">
        <f t="shared" si="1"/>
        <v>6.7099696041961225E-3</v>
      </c>
      <c r="R54" s="14">
        <f ca="1">1-IFERROR(_xlfn.LOGNORM.DIST($D54,Parameter!$E$6,Parameter!$E$7,TRUE),0)</f>
        <v>3.1423143340311155E-2</v>
      </c>
      <c r="S54" s="16">
        <v>1.2587740203105269E-2</v>
      </c>
      <c r="T54" s="16">
        <v>1.2681781825505944E-2</v>
      </c>
      <c r="U54" s="16">
        <v>3.8659912641968885E-2</v>
      </c>
      <c r="V54" s="16">
        <v>6.8174214482303874E-2</v>
      </c>
      <c r="W54" s="16">
        <v>2.2426507335526202E-2</v>
      </c>
      <c r="X54" s="16">
        <v>1.8303010237296968E-2</v>
      </c>
      <c r="Y54" s="16">
        <v>9.9789283858031652E-3</v>
      </c>
      <c r="Z54" s="16">
        <v>2.7722722398151545E-2</v>
      </c>
      <c r="AA54" s="16">
        <v>5.1736543226031495E-2</v>
      </c>
      <c r="AB54" s="16">
        <v>4.5400684482470144E-2</v>
      </c>
      <c r="AC54" s="16">
        <v>2.8026233106783871E-2</v>
      </c>
      <c r="AD54" s="16">
        <v>2.8184936882039047E-2</v>
      </c>
      <c r="AE54" s="16">
        <v>3.1020925429029567E-2</v>
      </c>
      <c r="AF54" s="16">
        <v>4.1702446776538449E-2</v>
      </c>
      <c r="AG54" s="16">
        <v>2.7627502034934248E-2</v>
      </c>
      <c r="AH54" s="16">
        <v>4.1812266791965591E-2</v>
      </c>
      <c r="AI54" s="16">
        <v>1.2806260952753279E-2</v>
      </c>
      <c r="AJ54" s="16">
        <v>1.2436574458973837E-2</v>
      </c>
      <c r="AK54" s="16">
        <v>4.8708217127482523E-2</v>
      </c>
      <c r="AL54" s="16">
        <v>2.6880188369806324E-2</v>
      </c>
      <c r="AM54" s="16">
        <v>7.0316704678718978E-3</v>
      </c>
      <c r="AN54" s="16">
        <v>6.9964865057427938E-2</v>
      </c>
      <c r="AO54" s="16">
        <v>1.7816746932448391E-2</v>
      </c>
      <c r="AP54" s="16">
        <v>3.8568962044465915E-2</v>
      </c>
      <c r="AQ54" s="16">
        <v>3.1579076529623551E-2</v>
      </c>
      <c r="AR54" s="16">
        <v>2.3880259228641565E-2</v>
      </c>
      <c r="AS54" s="16">
        <v>3.1579536878259873E-2</v>
      </c>
      <c r="AT54" s="16">
        <v>4.9565528043590601E-2</v>
      </c>
      <c r="AU54" s="16">
        <v>6.8473401821062874E-2</v>
      </c>
      <c r="AV54" s="16">
        <v>3.5751615313913354E-2</v>
      </c>
      <c r="AW54" s="16">
        <v>4.2336704152252325E-2</v>
      </c>
      <c r="AX54" s="16">
        <v>1.167031622186443E-2</v>
      </c>
      <c r="AY54" s="16">
        <v>2.8131624599663563E-2</v>
      </c>
      <c r="AZ54" s="16">
        <v>2.8439660444591008E-2</v>
      </c>
      <c r="BA54" s="16">
        <v>4.4605759869437378E-2</v>
      </c>
      <c r="BB54" s="16">
        <v>2.1682034333946776E-2</v>
      </c>
      <c r="BC54" s="16">
        <v>4.3873434764751473E-2</v>
      </c>
      <c r="BD54" s="16">
        <v>2.3598125126007785E-2</v>
      </c>
      <c r="BE54" s="16">
        <v>4.2129076500037055E-2</v>
      </c>
      <c r="BF54" s="16">
        <v>8.9648784284983574E-3</v>
      </c>
      <c r="BG54" s="16">
        <v>4.4624332994359639E-2</v>
      </c>
      <c r="BH54" s="16">
        <v>4.0976338730146278E-2</v>
      </c>
      <c r="BI54" s="16">
        <v>3.542801425847053E-2</v>
      </c>
      <c r="BJ54" s="16">
        <v>4.3349692864218747E-2</v>
      </c>
      <c r="BK54" s="16">
        <v>3.2002697898073973E-2</v>
      </c>
      <c r="BL54" s="16">
        <v>4.9014023422987552E-2</v>
      </c>
      <c r="BM54" s="16">
        <v>4.2748313873443133E-2</v>
      </c>
      <c r="BN54" s="16">
        <v>2.3147562301424118E-2</v>
      </c>
      <c r="BO54" s="16">
        <v>3.642928175359339E-2</v>
      </c>
      <c r="BP54" s="16">
        <v>7.9267490260224727E-2</v>
      </c>
      <c r="BQ54" s="16">
        <v>3.4658534168227284E-2</v>
      </c>
      <c r="BR54" s="16">
        <v>2.2090640700378472E-2</v>
      </c>
      <c r="BS54" s="16">
        <v>3.1631789035255875E-2</v>
      </c>
      <c r="BT54" s="16">
        <v>5.5490129810732536E-2</v>
      </c>
      <c r="BU54" s="16">
        <v>5.8245724803142052E-3</v>
      </c>
      <c r="BV54" s="16">
        <v>9.2331476188155848E-2</v>
      </c>
      <c r="BW54" s="16">
        <v>3.3297838851106598E-2</v>
      </c>
      <c r="BX54" s="16">
        <v>5.3323444185842783E-2</v>
      </c>
      <c r="BY54" s="16">
        <v>6.0665525669994502E-2</v>
      </c>
      <c r="BZ54" s="16">
        <v>2.2528450170870351E-2</v>
      </c>
      <c r="CA54" s="16">
        <v>1.8109106308787926E-3</v>
      </c>
      <c r="CB54" s="16">
        <v>8.8477931812694366E-2</v>
      </c>
      <c r="CC54" s="16">
        <v>3.5862224173543678E-2</v>
      </c>
      <c r="CD54" s="16">
        <v>5.177933339528773E-2</v>
      </c>
      <c r="CE54" s="16">
        <v>3.8963843429639877E-2</v>
      </c>
      <c r="CF54" s="16">
        <v>2.9347146728718521E-2</v>
      </c>
      <c r="CG54" s="16">
        <v>3.1887124001189759E-2</v>
      </c>
      <c r="CH54" s="16">
        <v>8.3330481637350351E-3</v>
      </c>
      <c r="CI54" s="16">
        <v>1.4924590356396039E-2</v>
      </c>
      <c r="CJ54" s="16">
        <v>5.8719627263208896E-2</v>
      </c>
      <c r="CK54" s="16">
        <v>1.3132033235521257E-2</v>
      </c>
      <c r="CL54" s="16">
        <v>2.5102834184288714E-2</v>
      </c>
      <c r="CM54" s="16">
        <v>1.2278500764311473E-2</v>
      </c>
      <c r="CN54" s="16">
        <v>4.2749685593659326E-2</v>
      </c>
      <c r="CO54" s="16">
        <v>5.7967142246974968E-2</v>
      </c>
      <c r="CP54" s="16">
        <v>1.4112564513478643E-2</v>
      </c>
      <c r="CQ54" s="16">
        <v>3.0325598649797447E-2</v>
      </c>
      <c r="CR54" s="16">
        <v>2.3125567573310524E-2</v>
      </c>
      <c r="CS54" s="16">
        <v>7.5436963798197754E-3</v>
      </c>
      <c r="CT54" s="16">
        <v>4.377150335352864E-2</v>
      </c>
      <c r="CU54" s="16">
        <v>6.4189069180132785E-3</v>
      </c>
      <c r="CV54" s="16">
        <v>4.2314279514866548E-2</v>
      </c>
      <c r="CW54" s="16">
        <v>4.7430665530930893E-2</v>
      </c>
      <c r="CX54" s="16">
        <v>1.5494498082026298E-2</v>
      </c>
      <c r="CY54" s="16">
        <v>6.9299645844470126E-2</v>
      </c>
      <c r="CZ54" s="16">
        <v>8.8271277195469677E-3</v>
      </c>
      <c r="DA54" s="16">
        <v>3.6392499568381753E-2</v>
      </c>
      <c r="DB54" s="16">
        <v>4.913154403508091E-2</v>
      </c>
      <c r="DC54" s="16">
        <v>2.2961245843458822E-2</v>
      </c>
      <c r="DD54" s="16">
        <v>2.9756013063732434E-2</v>
      </c>
      <c r="DE54" s="16">
        <v>3.5609885968441835E-2</v>
      </c>
      <c r="DF54" s="16">
        <v>2.510989603989966E-2</v>
      </c>
      <c r="DG54" s="16">
        <v>5.4106149889322164E-2</v>
      </c>
      <c r="DH54" s="16">
        <v>5.3550555157467539E-2</v>
      </c>
      <c r="DI54" s="16">
        <v>2.4228706713681936E-2</v>
      </c>
      <c r="DJ54" s="16">
        <v>1.825742127517771E-2</v>
      </c>
      <c r="DK54" s="16">
        <v>2.2098906651169092E-2</v>
      </c>
      <c r="DL54" s="16">
        <v>1.3322188813168601E-2</v>
      </c>
      <c r="DM54" s="16">
        <v>1.6077628295697477E-2</v>
      </c>
      <c r="DN54" s="16">
        <v>7.0665217904982702E-3</v>
      </c>
    </row>
    <row r="55" spans="4:118" x14ac:dyDescent="0.2">
      <c r="D55" s="13">
        <v>47</v>
      </c>
      <c r="E55" s="14">
        <f>1-IFERROR(_xlfn.LOGNORM.DIST(D55,Parameter!$G$6,Parameter!$G$7,TRUE),0)</f>
        <v>3.2103596297535342E-2</v>
      </c>
      <c r="F55" s="15">
        <f t="shared" si="0"/>
        <v>7.3997620000325809E-2</v>
      </c>
      <c r="G55" s="15">
        <f t="shared" si="1"/>
        <v>6.529804038610601E-3</v>
      </c>
      <c r="R55" s="14">
        <f ca="1">1-IFERROR(_xlfn.LOGNORM.DIST($D55,Parameter!$E$6,Parameter!$E$7,TRUE),0)</f>
        <v>3.0874983787712251E-2</v>
      </c>
      <c r="S55" s="16">
        <v>1.233908913232562E-2</v>
      </c>
      <c r="T55" s="16">
        <v>1.2410780664848686E-2</v>
      </c>
      <c r="U55" s="16">
        <v>3.7989026294016237E-2</v>
      </c>
      <c r="V55" s="16">
        <v>6.7313967516320128E-2</v>
      </c>
      <c r="W55" s="16">
        <v>2.2041132494243332E-2</v>
      </c>
      <c r="X55" s="16">
        <v>1.7912770258614041E-2</v>
      </c>
      <c r="Y55" s="16">
        <v>9.7515958933311886E-3</v>
      </c>
      <c r="Z55" s="16">
        <v>2.7293904596088381E-2</v>
      </c>
      <c r="AA55" s="16">
        <v>5.1033179908712145E-2</v>
      </c>
      <c r="AB55" s="16">
        <v>4.4650232344230378E-2</v>
      </c>
      <c r="AC55" s="16">
        <v>2.7540713074803658E-2</v>
      </c>
      <c r="AD55" s="16">
        <v>2.770198869277829E-2</v>
      </c>
      <c r="AE55" s="16">
        <v>3.0507115916408756E-2</v>
      </c>
      <c r="AF55" s="16">
        <v>4.1060591359050935E-2</v>
      </c>
      <c r="AG55" s="16">
        <v>2.7030606738002949E-2</v>
      </c>
      <c r="AH55" s="16">
        <v>4.1234500700543797E-2</v>
      </c>
      <c r="AI55" s="16">
        <v>1.2541001675946406E-2</v>
      </c>
      <c r="AJ55" s="16">
        <v>1.2158333126822685E-2</v>
      </c>
      <c r="AK55" s="16">
        <v>4.809434742302332E-2</v>
      </c>
      <c r="AL55" s="16">
        <v>2.6435783203735408E-2</v>
      </c>
      <c r="AM55" s="16">
        <v>6.8401890201734705E-3</v>
      </c>
      <c r="AN55" s="16">
        <v>6.9101271938059372E-2</v>
      </c>
      <c r="AO55" s="16">
        <v>1.747120484148923E-2</v>
      </c>
      <c r="AP55" s="16">
        <v>3.8036969471410775E-2</v>
      </c>
      <c r="AQ55" s="16">
        <v>3.1116222932027426E-2</v>
      </c>
      <c r="AR55" s="16">
        <v>2.3405284945496097E-2</v>
      </c>
      <c r="AS55" s="16">
        <v>3.1057831306167349E-2</v>
      </c>
      <c r="AT55" s="16">
        <v>4.8882166456049592E-2</v>
      </c>
      <c r="AU55" s="16">
        <v>6.7619123790512714E-2</v>
      </c>
      <c r="AV55" s="16">
        <v>3.5134685581700964E-2</v>
      </c>
      <c r="AW55" s="16">
        <v>4.1778638869755191E-2</v>
      </c>
      <c r="AX55" s="16">
        <v>1.1406878691601618E-2</v>
      </c>
      <c r="AY55" s="16">
        <v>2.7582735495984334E-2</v>
      </c>
      <c r="AZ55" s="16">
        <v>2.7969968142782409E-2</v>
      </c>
      <c r="BA55" s="16">
        <v>4.3836604513894262E-2</v>
      </c>
      <c r="BB55" s="16">
        <v>2.1263019216703372E-2</v>
      </c>
      <c r="BC55" s="16">
        <v>4.3140728742399159E-2</v>
      </c>
      <c r="BD55" s="16">
        <v>2.3226541879804219E-2</v>
      </c>
      <c r="BE55" s="16">
        <v>4.1493240293768885E-2</v>
      </c>
      <c r="BF55" s="16">
        <v>8.7388834652333269E-3</v>
      </c>
      <c r="BG55" s="16">
        <v>4.3879103317006396E-2</v>
      </c>
      <c r="BH55" s="16">
        <v>4.0385779484899076E-2</v>
      </c>
      <c r="BI55" s="16">
        <v>3.4904772970998366E-2</v>
      </c>
      <c r="BJ55" s="16">
        <v>4.2709156740538434E-2</v>
      </c>
      <c r="BK55" s="16">
        <v>3.1516467173757001E-2</v>
      </c>
      <c r="BL55" s="16">
        <v>4.8241653739392043E-2</v>
      </c>
      <c r="BM55" s="16">
        <v>4.2115129748639069E-2</v>
      </c>
      <c r="BN55" s="16">
        <v>2.2692641126068058E-2</v>
      </c>
      <c r="BO55" s="16">
        <v>3.5874384379124491E-2</v>
      </c>
      <c r="BP55" s="16">
        <v>7.8427649199519389E-2</v>
      </c>
      <c r="BQ55" s="16">
        <v>3.4152414124837938E-2</v>
      </c>
      <c r="BR55" s="16">
        <v>2.1663521374905126E-2</v>
      </c>
      <c r="BS55" s="16">
        <v>3.1165526450092296E-2</v>
      </c>
      <c r="BT55" s="16">
        <v>5.4642254452111017E-2</v>
      </c>
      <c r="BU55" s="16">
        <v>5.6628223751530316E-3</v>
      </c>
      <c r="BV55" s="16">
        <v>9.1379277682404614E-2</v>
      </c>
      <c r="BW55" s="16">
        <v>3.2746910921879424E-2</v>
      </c>
      <c r="BX55" s="16">
        <v>5.2505130346525486E-2</v>
      </c>
      <c r="BY55" s="16">
        <v>5.9922163647050941E-2</v>
      </c>
      <c r="BZ55" s="16">
        <v>2.2064309378259983E-2</v>
      </c>
      <c r="CA55" s="16">
        <v>1.7469273937569252E-3</v>
      </c>
      <c r="CB55" s="16">
        <v>8.7410816514507661E-2</v>
      </c>
      <c r="CC55" s="16">
        <v>3.5238074685218002E-2</v>
      </c>
      <c r="CD55" s="16">
        <v>5.1069159889231996E-2</v>
      </c>
      <c r="CE55" s="16">
        <v>3.8389593700728364E-2</v>
      </c>
      <c r="CF55" s="16">
        <v>2.886200894087565E-2</v>
      </c>
      <c r="CG55" s="16">
        <v>3.1335371926845434E-2</v>
      </c>
      <c r="CH55" s="16">
        <v>8.1278937811247731E-3</v>
      </c>
      <c r="CI55" s="16">
        <v>1.4658884693628749E-2</v>
      </c>
      <c r="CJ55" s="16">
        <v>5.795443741853834E-2</v>
      </c>
      <c r="CK55" s="16">
        <v>1.2840050366691891E-2</v>
      </c>
      <c r="CL55" s="16">
        <v>2.4628125043140492E-2</v>
      </c>
      <c r="CM55" s="16">
        <v>1.2022057451901991E-2</v>
      </c>
      <c r="CN55" s="16">
        <v>4.2151959131067951E-2</v>
      </c>
      <c r="CO55" s="16">
        <v>5.7186565296771352E-2</v>
      </c>
      <c r="CP55" s="16">
        <v>1.3801627721213627E-2</v>
      </c>
      <c r="CQ55" s="16">
        <v>2.9820535195012154E-2</v>
      </c>
      <c r="CR55" s="16">
        <v>2.2711542280772434E-2</v>
      </c>
      <c r="CS55" s="16">
        <v>7.359953684662135E-3</v>
      </c>
      <c r="CT55" s="16">
        <v>4.296463805690065E-2</v>
      </c>
      <c r="CU55" s="16">
        <v>6.2489795314822905E-3</v>
      </c>
      <c r="CV55" s="16">
        <v>4.1713946552527359E-2</v>
      </c>
      <c r="CW55" s="16">
        <v>4.6761672556828282E-2</v>
      </c>
      <c r="CX55" s="16">
        <v>1.5210233241019222E-2</v>
      </c>
      <c r="CY55" s="16">
        <v>6.8412022917674897E-2</v>
      </c>
      <c r="CZ55" s="16">
        <v>8.5953732109717018E-3</v>
      </c>
      <c r="DA55" s="16">
        <v>3.589085008348436E-2</v>
      </c>
      <c r="DB55" s="16">
        <v>4.8286472712959605E-2</v>
      </c>
      <c r="DC55" s="16">
        <v>2.248311134908032E-2</v>
      </c>
      <c r="DD55" s="16">
        <v>2.915742634458951E-2</v>
      </c>
      <c r="DE55" s="16">
        <v>3.5029408163430586E-2</v>
      </c>
      <c r="DF55" s="16">
        <v>2.4693436558458459E-2</v>
      </c>
      <c r="DG55" s="16">
        <v>5.3418140129201319E-2</v>
      </c>
      <c r="DH55" s="16">
        <v>5.2811388546201932E-2</v>
      </c>
      <c r="DI55" s="16">
        <v>2.3791074980893168E-2</v>
      </c>
      <c r="DJ55" s="16">
        <v>1.7882828780027116E-2</v>
      </c>
      <c r="DK55" s="16">
        <v>2.1714638074249226E-2</v>
      </c>
      <c r="DL55" s="16">
        <v>1.3061749829240243E-2</v>
      </c>
      <c r="DM55" s="16">
        <v>1.5746928836224861E-2</v>
      </c>
      <c r="DN55" s="16">
        <v>6.8838603709149293E-3</v>
      </c>
    </row>
    <row r="56" spans="4:118" x14ac:dyDescent="0.2">
      <c r="D56" s="13">
        <v>48</v>
      </c>
      <c r="E56" s="14">
        <f>1-IFERROR(_xlfn.LOGNORM.DIST(D56,Parameter!$G$6,Parameter!$G$7,TRUE),0)</f>
        <v>3.1586505344239346E-2</v>
      </c>
      <c r="F56" s="15">
        <f t="shared" si="0"/>
        <v>7.317164641126421E-2</v>
      </c>
      <c r="G56" s="15">
        <f t="shared" si="1"/>
        <v>6.3575900453777482E-3</v>
      </c>
      <c r="R56" s="14">
        <f ca="1">1-IFERROR(_xlfn.LOGNORM.DIST($D56,Parameter!$E$6,Parameter!$E$7,TRUE),0)</f>
        <v>3.0346055733191601E-2</v>
      </c>
      <c r="S56" s="16">
        <v>1.2099806022745074E-2</v>
      </c>
      <c r="T56" s="16">
        <v>1.2150358019686225E-2</v>
      </c>
      <c r="U56" s="16">
        <v>3.7341495419081383E-2</v>
      </c>
      <c r="V56" s="16">
        <v>6.6479984116629476E-2</v>
      </c>
      <c r="W56" s="16">
        <v>2.1669301266949659E-2</v>
      </c>
      <c r="X56" s="16">
        <v>1.7537642158070743E-2</v>
      </c>
      <c r="Y56" s="16">
        <v>9.5334453234041661E-3</v>
      </c>
      <c r="Z56" s="16">
        <v>2.6879488487579262E-2</v>
      </c>
      <c r="AA56" s="16">
        <v>5.0352018280365951E-2</v>
      </c>
      <c r="AB56" s="16">
        <v>4.3925289890773933E-2</v>
      </c>
      <c r="AC56" s="16">
        <v>2.707222745242488E-2</v>
      </c>
      <c r="AD56" s="16">
        <v>2.7235908289745869E-2</v>
      </c>
      <c r="AE56" s="16">
        <v>3.0010972827475668E-2</v>
      </c>
      <c r="AF56" s="16">
        <v>4.0440033093152472E-2</v>
      </c>
      <c r="AG56" s="16">
        <v>2.6456742351936402E-2</v>
      </c>
      <c r="AH56" s="16">
        <v>4.0675185095634947E-2</v>
      </c>
      <c r="AI56" s="16">
        <v>1.2285948113749612E-2</v>
      </c>
      <c r="AJ56" s="16">
        <v>1.1891192602922596E-2</v>
      </c>
      <c r="AK56" s="16">
        <v>4.7499414668569995E-2</v>
      </c>
      <c r="AL56" s="16">
        <v>2.6006698741181777E-2</v>
      </c>
      <c r="AM56" s="16">
        <v>6.6572151587988015E-3</v>
      </c>
      <c r="AN56" s="16">
        <v>6.8263840750886762E-2</v>
      </c>
      <c r="AO56" s="16">
        <v>1.7138496567835948E-2</v>
      </c>
      <c r="AP56" s="16">
        <v>3.7521990948336748E-2</v>
      </c>
      <c r="AQ56" s="16">
        <v>3.0668564921981445E-2</v>
      </c>
      <c r="AR56" s="16">
        <v>2.2948035981207204E-2</v>
      </c>
      <c r="AS56" s="16">
        <v>3.0554037639571319E-2</v>
      </c>
      <c r="AT56" s="16">
        <v>4.8220505530474633E-2</v>
      </c>
      <c r="AU56" s="16">
        <v>6.679083128146579E-2</v>
      </c>
      <c r="AV56" s="16">
        <v>3.4539232583400747E-2</v>
      </c>
      <c r="AW56" s="16">
        <v>4.123810854503962E-2</v>
      </c>
      <c r="AX56" s="16">
        <v>1.1154007591695048E-2</v>
      </c>
      <c r="AY56" s="16">
        <v>2.7054079112028506E-2</v>
      </c>
      <c r="AZ56" s="16">
        <v>2.7516440756485405E-2</v>
      </c>
      <c r="BA56" s="16">
        <v>4.3094041672838257E-2</v>
      </c>
      <c r="BB56" s="16">
        <v>2.0859480220185134E-2</v>
      </c>
      <c r="BC56" s="16">
        <v>4.2433054641463186E-2</v>
      </c>
      <c r="BD56" s="16">
        <v>2.2867565255447753E-2</v>
      </c>
      <c r="BE56" s="16">
        <v>4.0878345195670018E-2</v>
      </c>
      <c r="BF56" s="16">
        <v>8.5225006894618094E-3</v>
      </c>
      <c r="BG56" s="16">
        <v>4.3159319663979456E-2</v>
      </c>
      <c r="BH56" s="16">
        <v>3.9814367172155807E-2</v>
      </c>
      <c r="BI56" s="16">
        <v>3.4398709448225651E-2</v>
      </c>
      <c r="BJ56" s="16">
        <v>4.2089539294650424E-2</v>
      </c>
      <c r="BK56" s="16">
        <v>3.1046404743794276E-2</v>
      </c>
      <c r="BL56" s="16">
        <v>4.7495007871790063E-2</v>
      </c>
      <c r="BM56" s="16">
        <v>4.1502650377823302E-2</v>
      </c>
      <c r="BN56" s="16">
        <v>2.2254620551710014E-2</v>
      </c>
      <c r="BO56" s="16">
        <v>3.5337896471662966E-2</v>
      </c>
      <c r="BP56" s="16">
        <v>7.7612042008748716E-2</v>
      </c>
      <c r="BQ56" s="16">
        <v>3.3662851452700093E-2</v>
      </c>
      <c r="BR56" s="16">
        <v>2.1252174382250577E-2</v>
      </c>
      <c r="BS56" s="16">
        <v>3.0714602110947564E-2</v>
      </c>
      <c r="BT56" s="16">
        <v>5.3822185224717489E-2</v>
      </c>
      <c r="BU56" s="16">
        <v>5.5083535080621138E-3</v>
      </c>
      <c r="BV56" s="16">
        <v>9.0454197114419377E-2</v>
      </c>
      <c r="BW56" s="16">
        <v>3.2214883992177312E-2</v>
      </c>
      <c r="BX56" s="16">
        <v>5.1713732228792941E-2</v>
      </c>
      <c r="BY56" s="16">
        <v>5.9201381644733542E-2</v>
      </c>
      <c r="BZ56" s="16">
        <v>2.1617785237810105E-2</v>
      </c>
      <c r="CA56" s="16">
        <v>1.6862907684381812E-3</v>
      </c>
      <c r="CB56" s="16">
        <v>8.6375502734040266E-2</v>
      </c>
      <c r="CC56" s="16">
        <v>3.4635725421024444E-2</v>
      </c>
      <c r="CD56" s="16">
        <v>5.038146877862304E-2</v>
      </c>
      <c r="CE56" s="16">
        <v>3.7834135876967934E-2</v>
      </c>
      <c r="CF56" s="16">
        <v>2.8393561447829452E-2</v>
      </c>
      <c r="CG56" s="16">
        <v>3.0802907251371026E-2</v>
      </c>
      <c r="CH56" s="16">
        <v>7.931371408826382E-3</v>
      </c>
      <c r="CI56" s="16">
        <v>1.4402725717804765E-2</v>
      </c>
      <c r="CJ56" s="16">
        <v>5.721297116547841E-2</v>
      </c>
      <c r="CK56" s="16">
        <v>1.2559671234302239E-2</v>
      </c>
      <c r="CL56" s="16">
        <v>2.4170729734027119E-2</v>
      </c>
      <c r="CM56" s="16">
        <v>1.1775525017055144E-2</v>
      </c>
      <c r="CN56" s="16">
        <v>4.1573386451845606E-2</v>
      </c>
      <c r="CO56" s="16">
        <v>5.6430459727517701E-2</v>
      </c>
      <c r="CP56" s="16">
        <v>1.3502978939767374E-2</v>
      </c>
      <c r="CQ56" s="16">
        <v>2.9332884412048954E-2</v>
      </c>
      <c r="CR56" s="16">
        <v>2.2312302957058328E-2</v>
      </c>
      <c r="CS56" s="16">
        <v>7.1839120507876109E-3</v>
      </c>
      <c r="CT56" s="16">
        <v>4.2186443806176865E-2</v>
      </c>
      <c r="CU56" s="16">
        <v>6.0865006570444136E-3</v>
      </c>
      <c r="CV56" s="16">
        <v>4.1132953692905039E-2</v>
      </c>
      <c r="CW56" s="16">
        <v>4.6114118005900373E-2</v>
      </c>
      <c r="CX56" s="16">
        <v>1.4936304574790893E-2</v>
      </c>
      <c r="CY56" s="16">
        <v>6.7551610153227415E-2</v>
      </c>
      <c r="CZ56" s="16">
        <v>8.3736857540662735E-3</v>
      </c>
      <c r="DA56" s="16">
        <v>3.5405263853873103E-2</v>
      </c>
      <c r="DB56" s="16">
        <v>4.7470496349424796E-2</v>
      </c>
      <c r="DC56" s="16">
        <v>2.2023203708702588E-2</v>
      </c>
      <c r="DD56" s="16">
        <v>2.858116604022265E-2</v>
      </c>
      <c r="DE56" s="16">
        <v>3.4468696400195786E-2</v>
      </c>
      <c r="DF56" s="16">
        <v>2.4291373902980418E-2</v>
      </c>
      <c r="DG56" s="16">
        <v>5.2751349413027504E-2</v>
      </c>
      <c r="DH56" s="16">
        <v>5.2095647656010491E-2</v>
      </c>
      <c r="DI56" s="16">
        <v>2.336911346263526E-2</v>
      </c>
      <c r="DJ56" s="16">
        <v>1.7522492379017596E-2</v>
      </c>
      <c r="DK56" s="16">
        <v>2.1343943109606078E-2</v>
      </c>
      <c r="DL56" s="16">
        <v>1.281106883226879E-2</v>
      </c>
      <c r="DM56" s="16">
        <v>1.5428860830141389E-2</v>
      </c>
      <c r="DN56" s="16">
        <v>6.709096480646104E-3</v>
      </c>
    </row>
    <row r="57" spans="4:118" x14ac:dyDescent="0.2">
      <c r="D57" s="13">
        <v>49</v>
      </c>
      <c r="E57" s="14">
        <f>1-IFERROR(_xlfn.LOGNORM.DIST(D57,Parameter!$G$6,Parameter!$G$7,TRUE),0)</f>
        <v>3.1086768149843791E-2</v>
      </c>
      <c r="F57" s="15">
        <f t="shared" si="0"/>
        <v>7.236960597199292E-2</v>
      </c>
      <c r="G57" s="15">
        <f t="shared" si="1"/>
        <v>6.192836519738917E-3</v>
      </c>
      <c r="R57" s="14">
        <f ca="1">1-IFERROR(_xlfn.LOGNORM.DIST($D57,Parameter!$E$6,Parameter!$E$7,TRUE),0)</f>
        <v>2.9835334036973138E-2</v>
      </c>
      <c r="S57" s="16">
        <v>1.1869366558166616E-2</v>
      </c>
      <c r="T57" s="16">
        <v>1.1899909781936224E-2</v>
      </c>
      <c r="U57" s="16">
        <v>3.671608385408387E-2</v>
      </c>
      <c r="V57" s="16">
        <v>6.5670973019363199E-2</v>
      </c>
      <c r="W57" s="16">
        <v>2.1310288144710032E-2</v>
      </c>
      <c r="X57" s="16">
        <v>1.7176770168598088E-2</v>
      </c>
      <c r="Y57" s="16">
        <v>9.3239406958618432E-3</v>
      </c>
      <c r="Z57" s="16">
        <v>2.6478722632666374E-2</v>
      </c>
      <c r="AA57" s="16">
        <v>4.969194438212865E-2</v>
      </c>
      <c r="AB57" s="16">
        <v>4.3224526752767556E-2</v>
      </c>
      <c r="AC57" s="16">
        <v>2.6619866850089768E-2</v>
      </c>
      <c r="AD57" s="16">
        <v>2.6785797390885824E-2</v>
      </c>
      <c r="AE57" s="16">
        <v>2.9531564179689718E-2</v>
      </c>
      <c r="AF57" s="16">
        <v>3.9839673204755566E-2</v>
      </c>
      <c r="AG57" s="16">
        <v>2.5904614731415476E-2</v>
      </c>
      <c r="AH57" s="16">
        <v>4.0133386202764965E-2</v>
      </c>
      <c r="AI57" s="16">
        <v>1.2040522294789469E-2</v>
      </c>
      <c r="AJ57" s="16">
        <v>1.1634510827223776E-2</v>
      </c>
      <c r="AK57" s="16">
        <v>4.6922478505499132E-2</v>
      </c>
      <c r="AL57" s="16">
        <v>2.5592124238494995E-2</v>
      </c>
      <c r="AM57" s="16">
        <v>6.4822215106992154E-3</v>
      </c>
      <c r="AN57" s="16">
        <v>6.745129042466691E-2</v>
      </c>
      <c r="AO57" s="16">
        <v>1.6817911857695989E-2</v>
      </c>
      <c r="AP57" s="16">
        <v>3.7023163915814727E-2</v>
      </c>
      <c r="AQ57" s="16">
        <v>3.0235320029305734E-2</v>
      </c>
      <c r="AR57" s="16">
        <v>2.2507532160135679E-2</v>
      </c>
      <c r="AS57" s="16">
        <v>3.0067211874175048E-2</v>
      </c>
      <c r="AT57" s="16">
        <v>4.7579452554029844E-2</v>
      </c>
      <c r="AU57" s="16">
        <v>6.5987248976423052E-2</v>
      </c>
      <c r="AV57" s="16">
        <v>3.3964118220611295E-2</v>
      </c>
      <c r="AW57" s="16">
        <v>4.0714233010225143E-2</v>
      </c>
      <c r="AX57" s="16">
        <v>1.0911089501608018E-2</v>
      </c>
      <c r="AY57" s="16">
        <v>2.6544546567230154E-2</v>
      </c>
      <c r="AZ57" s="16">
        <v>2.7078224188278099E-2</v>
      </c>
      <c r="BA57" s="16">
        <v>4.2376672210866939E-2</v>
      </c>
      <c r="BB57" s="16">
        <v>2.04705653391416E-2</v>
      </c>
      <c r="BC57" s="16">
        <v>4.1749102937335469E-2</v>
      </c>
      <c r="BD57" s="16">
        <v>2.252053288263467E-2</v>
      </c>
      <c r="BE57" s="16">
        <v>4.0283314990372299E-2</v>
      </c>
      <c r="BF57" s="16">
        <v>8.3151510406482831E-3</v>
      </c>
      <c r="BG57" s="16">
        <v>4.2463651598867447E-2</v>
      </c>
      <c r="BH57" s="16">
        <v>3.926112513817237E-2</v>
      </c>
      <c r="BI57" s="16">
        <v>3.3908940312603386E-2</v>
      </c>
      <c r="BJ57" s="16">
        <v>4.148977043267188E-2</v>
      </c>
      <c r="BK57" s="16">
        <v>3.0591672664418645E-2</v>
      </c>
      <c r="BL57" s="16">
        <v>4.6772759614953863E-2</v>
      </c>
      <c r="BM57" s="16">
        <v>4.0909815730128529E-2</v>
      </c>
      <c r="BN57" s="16">
        <v>2.1832567927722257E-2</v>
      </c>
      <c r="BO57" s="16">
        <v>3.4818866547098204E-2</v>
      </c>
      <c r="BP57" s="16">
        <v>7.681951051481184E-2</v>
      </c>
      <c r="BQ57" s="16">
        <v>3.3188995987545211E-2</v>
      </c>
      <c r="BR57" s="16">
        <v>2.0855731696331814E-2</v>
      </c>
      <c r="BS57" s="16">
        <v>3.0278225397981418E-2</v>
      </c>
      <c r="BT57" s="16">
        <v>5.3028502549457457E-2</v>
      </c>
      <c r="BU57" s="16">
        <v>5.3607101488927222E-3</v>
      </c>
      <c r="BV57" s="16">
        <v>8.955494937275621E-2</v>
      </c>
      <c r="BW57" s="16">
        <v>3.1700763005582555E-2</v>
      </c>
      <c r="BX57" s="16">
        <v>5.0947872727857835E-2</v>
      </c>
      <c r="BY57" s="16">
        <v>5.8502070037614984E-2</v>
      </c>
      <c r="BZ57" s="16">
        <v>2.1187893758985332E-2</v>
      </c>
      <c r="CA57" s="16">
        <v>1.6287682192087649E-3</v>
      </c>
      <c r="CB57" s="16">
        <v>8.5370451891272126E-2</v>
      </c>
      <c r="CC57" s="16">
        <v>3.4054019211645414E-2</v>
      </c>
      <c r="CD57" s="16">
        <v>4.9715130427564036E-2</v>
      </c>
      <c r="CE57" s="16">
        <v>3.7296506287298192E-2</v>
      </c>
      <c r="CF57" s="16">
        <v>2.794092289321326E-2</v>
      </c>
      <c r="CG57" s="16">
        <v>3.0288704013617163E-2</v>
      </c>
      <c r="CH57" s="16">
        <v>7.742964032838362E-3</v>
      </c>
      <c r="CI57" s="16">
        <v>1.4155593865681437E-2</v>
      </c>
      <c r="CJ57" s="16">
        <v>5.6494050712703414E-2</v>
      </c>
      <c r="CK57" s="16">
        <v>1.2290226558013151E-2</v>
      </c>
      <c r="CL57" s="16">
        <v>2.3729703279790737E-2</v>
      </c>
      <c r="CM57" s="16">
        <v>1.1538340532759594E-2</v>
      </c>
      <c r="CN57" s="16">
        <v>4.1012996793860168E-2</v>
      </c>
      <c r="CO57" s="16">
        <v>5.5697603905697446E-2</v>
      </c>
      <c r="CP57" s="16">
        <v>1.3215912215871373E-2</v>
      </c>
      <c r="CQ57" s="16">
        <v>2.8861726145238742E-2</v>
      </c>
      <c r="CR57" s="16">
        <v>2.1927050924970382E-2</v>
      </c>
      <c r="CS57" s="16">
        <v>7.0151109055106575E-3</v>
      </c>
      <c r="CT57" s="16">
        <v>4.1435390522358229E-2</v>
      </c>
      <c r="CU57" s="16">
        <v>5.9310120041081715E-3</v>
      </c>
      <c r="CV57" s="16">
        <v>4.0570317988298021E-2</v>
      </c>
      <c r="CW57" s="16">
        <v>4.5486916847355063E-2</v>
      </c>
      <c r="CX57" s="16">
        <v>1.4672145997422503E-2</v>
      </c>
      <c r="CY57" s="16">
        <v>6.6717067613492831E-2</v>
      </c>
      <c r="CZ57" s="16">
        <v>8.1614510920088312E-3</v>
      </c>
      <c r="DA57" s="16">
        <v>3.4934925482470125E-2</v>
      </c>
      <c r="DB57" s="16">
        <v>4.6682090156655365E-2</v>
      </c>
      <c r="DC57" s="16">
        <v>2.1580502671132318E-2</v>
      </c>
      <c r="DD57" s="16">
        <v>2.8026001810570245E-2</v>
      </c>
      <c r="DE57" s="16">
        <v>3.3926715047122857E-2</v>
      </c>
      <c r="DF57" s="16">
        <v>2.3902944537847359E-2</v>
      </c>
      <c r="DG57" s="16">
        <v>5.2104725650949368E-2</v>
      </c>
      <c r="DH57" s="16">
        <v>5.1402155442770603E-2</v>
      </c>
      <c r="DI57" s="16">
        <v>2.2961974968875642E-2</v>
      </c>
      <c r="DJ57" s="16">
        <v>1.7175612549394481E-2</v>
      </c>
      <c r="DK57" s="16">
        <v>2.0986092534079903E-2</v>
      </c>
      <c r="DL57" s="16">
        <v>1.2569601645521011E-2</v>
      </c>
      <c r="DM57" s="16">
        <v>1.5122713444179037E-2</v>
      </c>
      <c r="DN57" s="16">
        <v>6.5417486227926647E-3</v>
      </c>
    </row>
    <row r="58" spans="4:118" x14ac:dyDescent="0.2">
      <c r="D58" s="13">
        <v>50</v>
      </c>
      <c r="E58" s="14">
        <f>1-IFERROR(_xlfn.LOGNORM.DIST(D58,Parameter!$G$6,Parameter!$G$7,TRUE),0)</f>
        <v>3.0603489667573758E-2</v>
      </c>
      <c r="F58" s="15">
        <f t="shared" si="0"/>
        <v>7.159036347725492E-2</v>
      </c>
      <c r="G58" s="15">
        <f t="shared" si="1"/>
        <v>6.0350912579902934E-3</v>
      </c>
      <c r="R58" s="14">
        <f ca="1">1-IFERROR(_xlfn.LOGNORM.DIST($D58,Parameter!$E$6,Parameter!$E$7,TRUE),0)</f>
        <v>2.9341866670039018E-2</v>
      </c>
      <c r="S58" s="16">
        <v>1.1647285214880232E-2</v>
      </c>
      <c r="T58" s="16">
        <v>1.1658877122462941E-2</v>
      </c>
      <c r="U58" s="16">
        <v>3.6111643048010622E-2</v>
      </c>
      <c r="V58" s="16">
        <v>6.488573015922805E-2</v>
      </c>
      <c r="W58" s="16">
        <v>2.096341964806181E-2</v>
      </c>
      <c r="X58" s="16">
        <v>1.6829362159292427E-2</v>
      </c>
      <c r="Y58" s="16">
        <v>9.1225868374735786E-3</v>
      </c>
      <c r="Z58" s="16">
        <v>2.6090908537083957E-2</v>
      </c>
      <c r="AA58" s="16">
        <v>4.9051920564639473E-2</v>
      </c>
      <c r="AB58" s="16">
        <v>4.2546705875732393E-2</v>
      </c>
      <c r="AC58" s="16">
        <v>2.6182786854846873E-2</v>
      </c>
      <c r="AD58" s="16">
        <v>2.6350821797874513E-2</v>
      </c>
      <c r="AE58" s="16">
        <v>2.9068024048294783E-2</v>
      </c>
      <c r="AF58" s="16">
        <v>3.9258489575680899E-2</v>
      </c>
      <c r="AG58" s="16">
        <v>2.5373025130029481E-2</v>
      </c>
      <c r="AH58" s="16">
        <v>3.9608234652780849E-2</v>
      </c>
      <c r="AI58" s="16">
        <v>1.1804189332309312E-2</v>
      </c>
      <c r="AJ58" s="16">
        <v>1.1387694266485893E-2</v>
      </c>
      <c r="AK58" s="16">
        <v>4.6362662635143881E-2</v>
      </c>
      <c r="AL58" s="16">
        <v>2.5191306586406448E-2</v>
      </c>
      <c r="AM58" s="16">
        <v>6.3147225678635843E-3</v>
      </c>
      <c r="AN58" s="16">
        <v>6.6662426179557532E-2</v>
      </c>
      <c r="AO58" s="16">
        <v>1.6508792523261984E-2</v>
      </c>
      <c r="AP58" s="16">
        <v>3.6539685403632727E-2</v>
      </c>
      <c r="AQ58" s="16">
        <v>2.9815760425986548E-2</v>
      </c>
      <c r="AR58" s="16">
        <v>2.2082864964342308E-2</v>
      </c>
      <c r="AS58" s="16">
        <v>2.9596476866216803E-2</v>
      </c>
      <c r="AT58" s="16">
        <v>4.6957989852337345E-2</v>
      </c>
      <c r="AU58" s="16">
        <v>6.5207187590134108E-2</v>
      </c>
      <c r="AV58" s="16">
        <v>3.3408285179044817E-2</v>
      </c>
      <c r="AW58" s="16">
        <v>4.0206192502397542E-2</v>
      </c>
      <c r="AX58" s="16">
        <v>1.0677557493178558E-2</v>
      </c>
      <c r="AY58" s="16">
        <v>2.6053109484911907E-2</v>
      </c>
      <c r="AZ58" s="16">
        <v>2.6654524975314065E-2</v>
      </c>
      <c r="BA58" s="16">
        <v>4.168319565026346E-2</v>
      </c>
      <c r="BB58" s="16">
        <v>2.0095484733861579E-2</v>
      </c>
      <c r="BC58" s="16">
        <v>4.1087656159461639E-2</v>
      </c>
      <c r="BD58" s="16">
        <v>2.2184829307786424E-2</v>
      </c>
      <c r="BE58" s="16">
        <v>3.9707148366051603E-2</v>
      </c>
      <c r="BF58" s="16">
        <v>8.1163004954658557E-3</v>
      </c>
      <c r="BG58" s="16">
        <v>4.1790862160565267E-2</v>
      </c>
      <c r="BH58" s="16">
        <v>3.8725144417985136E-2</v>
      </c>
      <c r="BI58" s="16">
        <v>3.343464377819072E-2</v>
      </c>
      <c r="BJ58" s="16">
        <v>4.0908854316412668E-2</v>
      </c>
      <c r="BK58" s="16">
        <v>3.0151491733451552E-2</v>
      </c>
      <c r="BL58" s="16">
        <v>4.6073675093684208E-2</v>
      </c>
      <c r="BM58" s="16">
        <v>4.0335639377159227E-2</v>
      </c>
      <c r="BN58" s="16">
        <v>2.142561871845694E-2</v>
      </c>
      <c r="BO58" s="16">
        <v>3.4316409648381008E-2</v>
      </c>
      <c r="BP58" s="16">
        <v>7.6048973413266996E-2</v>
      </c>
      <c r="BQ58" s="16">
        <v>3.2730056795012064E-2</v>
      </c>
      <c r="BR58" s="16">
        <v>2.0473388603439058E-2</v>
      </c>
      <c r="BS58" s="16">
        <v>2.9855660936387807E-2</v>
      </c>
      <c r="BT58" s="16">
        <v>5.2259884984513949E-2</v>
      </c>
      <c r="BU58" s="16">
        <v>5.2194730206847062E-3</v>
      </c>
      <c r="BV58" s="16">
        <v>8.8680334112701154E-2</v>
      </c>
      <c r="BW58" s="16">
        <v>3.1203623305482209E-2</v>
      </c>
      <c r="BX58" s="16">
        <v>5.0206270102961525E-2</v>
      </c>
      <c r="BY58" s="16">
        <v>5.7823194199864147E-2</v>
      </c>
      <c r="BZ58" s="16">
        <v>2.0773723371610875E-2</v>
      </c>
      <c r="CA58" s="16">
        <v>1.5741473221485558E-3</v>
      </c>
      <c r="CB58" s="16">
        <v>8.4394228066224874E-2</v>
      </c>
      <c r="CC58" s="16">
        <v>3.3491881104389942E-2</v>
      </c>
      <c r="CD58" s="16">
        <v>4.9069092646185641E-2</v>
      </c>
      <c r="CE58" s="16">
        <v>3.677580828905358E-2</v>
      </c>
      <c r="CF58" s="16">
        <v>2.7503274454263482E-2</v>
      </c>
      <c r="CG58" s="16">
        <v>2.9791809319703266E-2</v>
      </c>
      <c r="CH58" s="16">
        <v>7.562194715337367E-3</v>
      </c>
      <c r="CI58" s="16">
        <v>1.3917007295382144E-2</v>
      </c>
      <c r="CJ58" s="16">
        <v>5.5796578366083427E-2</v>
      </c>
      <c r="CK58" s="16">
        <v>1.2031097532724466E-2</v>
      </c>
      <c r="CL58" s="16">
        <v>2.3304169204866221E-2</v>
      </c>
      <c r="CM58" s="16">
        <v>1.130998312509357E-2</v>
      </c>
      <c r="CN58" s="16">
        <v>4.046988639732374E-2</v>
      </c>
      <c r="CO58" s="16">
        <v>5.4986859548348033E-2</v>
      </c>
      <c r="CP58" s="16">
        <v>1.2939774676445914E-2</v>
      </c>
      <c r="CQ58" s="16">
        <v>2.84062055372728E-2</v>
      </c>
      <c r="CR58" s="16">
        <v>2.1555045069705181E-2</v>
      </c>
      <c r="CS58" s="16">
        <v>6.8531253621851862E-3</v>
      </c>
      <c r="CT58" s="16">
        <v>4.0710056923390359E-2</v>
      </c>
      <c r="CU58" s="16">
        <v>5.782091501438269E-3</v>
      </c>
      <c r="CV58" s="16">
        <v>4.0025124452476635E-2</v>
      </c>
      <c r="CW58" s="16">
        <v>4.4879058812756334E-2</v>
      </c>
      <c r="CX58" s="16">
        <v>1.4417232680174474E-2</v>
      </c>
      <c r="CY58" s="16">
        <v>6.5907145909287701E-2</v>
      </c>
      <c r="CZ58" s="16">
        <v>7.9581031511282152E-3</v>
      </c>
      <c r="DA58" s="16">
        <v>3.4479075968509965E-2</v>
      </c>
      <c r="DB58" s="16">
        <v>4.5919836489355492E-2</v>
      </c>
      <c r="DC58" s="16">
        <v>2.1154063160455205E-2</v>
      </c>
      <c r="DD58" s="16">
        <v>2.7490792880264014E-2</v>
      </c>
      <c r="DE58" s="16">
        <v>3.3402501491058612E-2</v>
      </c>
      <c r="DF58" s="16">
        <v>2.3527439304738995E-2</v>
      </c>
      <c r="DG58" s="16">
        <v>5.1477288301872037E-2</v>
      </c>
      <c r="DH58" s="16">
        <v>5.072981553302669E-2</v>
      </c>
      <c r="DI58" s="16">
        <v>2.256887338134872E-2</v>
      </c>
      <c r="DJ58" s="16">
        <v>1.6841448861937947E-2</v>
      </c>
      <c r="DK58" s="16">
        <v>2.0640409519835923E-2</v>
      </c>
      <c r="DL58" s="16">
        <v>1.2336844248344914E-2</v>
      </c>
      <c r="DM58" s="16">
        <v>1.4827828544528243E-2</v>
      </c>
      <c r="DN58" s="16">
        <v>6.3813731017332564E-3</v>
      </c>
    </row>
    <row r="59" spans="4:118" x14ac:dyDescent="0.2">
      <c r="D59" s="13">
        <v>51</v>
      </c>
      <c r="E59" s="14">
        <f>1-IFERROR(_xlfn.LOGNORM.DIST(D59,Parameter!$G$6,Parameter!$G$7,TRUE),0)</f>
        <v>3.013583693671118E-2</v>
      </c>
      <c r="F59" s="15">
        <f t="shared" si="0"/>
        <v>7.0832858166323134E-2</v>
      </c>
      <c r="G59" s="15">
        <f t="shared" si="1"/>
        <v>5.8839372119716491E-3</v>
      </c>
      <c r="R59" s="14">
        <f ca="1">1-IFERROR(_xlfn.LOGNORM.DIST($D59,Parameter!$E$6,Parameter!$E$7,TRUE),0)</f>
        <v>2.8864768215338565E-2</v>
      </c>
      <c r="S59" s="16">
        <v>1.1433111710758004E-2</v>
      </c>
      <c r="T59" s="16">
        <v>1.1426742308955573E-2</v>
      </c>
      <c r="U59" s="16">
        <v>3.5527104316857905E-2</v>
      </c>
      <c r="V59" s="16">
        <v>6.4123131223313923E-2</v>
      </c>
      <c r="W59" s="16">
        <v>2.0628069676649541E-2</v>
      </c>
      <c r="X59" s="16">
        <v>1.6494683800275411E-2</v>
      </c>
      <c r="Y59" s="16">
        <v>8.928925567567747E-3</v>
      </c>
      <c r="Z59" s="16">
        <v>2.5715395980641986E-2</v>
      </c>
      <c r="AA59" s="16">
        <v>4.8430978900131372E-2</v>
      </c>
      <c r="AB59" s="16">
        <v>4.1890675335405581E-2</v>
      </c>
      <c r="AC59" s="16">
        <v>2.5760202243548136E-2</v>
      </c>
      <c r="AD59" s="16">
        <v>2.593020569487936E-2</v>
      </c>
      <c r="AE59" s="16">
        <v>2.8619546717799316E-2</v>
      </c>
      <c r="AF59" s="16">
        <v>3.8695530038659109E-2</v>
      </c>
      <c r="AG59" s="16">
        <v>2.486086152872069E-2</v>
      </c>
      <c r="AH59" s="16">
        <v>3.9098919890093509E-2</v>
      </c>
      <c r="AI59" s="16">
        <v>1.1576453459928082E-2</v>
      </c>
      <c r="AJ59" s="16">
        <v>1.1150193405755959E-2</v>
      </c>
      <c r="AK59" s="16">
        <v>4.5819149306321028E-2</v>
      </c>
      <c r="AL59" s="16">
        <v>2.4803545193426202E-2</v>
      </c>
      <c r="AM59" s="16">
        <v>6.1542706509787326E-3</v>
      </c>
      <c r="AN59" s="16">
        <v>6.5896132171292088E-2</v>
      </c>
      <c r="AO59" s="16">
        <v>1.6210527713962364E-2</v>
      </c>
      <c r="AP59" s="16">
        <v>3.6070806849621384E-2</v>
      </c>
      <c r="AQ59" s="16">
        <v>2.9409208136486731E-2</v>
      </c>
      <c r="AR59" s="16">
        <v>2.1673191047831164E-2</v>
      </c>
      <c r="AS59" s="16">
        <v>2.9141016416355581E-2</v>
      </c>
      <c r="AT59" s="16">
        <v>4.6355168299338056E-2</v>
      </c>
      <c r="AU59" s="16">
        <v>6.4449536527917406E-2</v>
      </c>
      <c r="AV59" s="16">
        <v>3.2870749775899433E-2</v>
      </c>
      <c r="AW59" s="16">
        <v>3.9713222436745022E-2</v>
      </c>
      <c r="AX59" s="16">
        <v>1.0452886801430417E-2</v>
      </c>
      <c r="AY59" s="16">
        <v>2.5578812747283686E-2</v>
      </c>
      <c r="AZ59" s="16">
        <v>2.6244604912730729E-2</v>
      </c>
      <c r="BA59" s="16">
        <v>4.1012401488103367E-2</v>
      </c>
      <c r="BB59" s="16">
        <v>1.9733505107659366E-2</v>
      </c>
      <c r="BC59" s="16">
        <v>4.0447580803889105E-2</v>
      </c>
      <c r="BD59" s="16">
        <v>2.1859881836810757E-2</v>
      </c>
      <c r="BE59" s="16">
        <v>3.9148912373166422E-2</v>
      </c>
      <c r="BF59" s="16">
        <v>7.9254557925615421E-3</v>
      </c>
      <c r="BG59" s="16">
        <v>4.1139799654834164E-2</v>
      </c>
      <c r="BH59" s="16">
        <v>3.8205577839336979E-2</v>
      </c>
      <c r="BI59" s="16">
        <v>3.2975054260374281E-2</v>
      </c>
      <c r="BJ59" s="16">
        <v>4.0345862892312456E-2</v>
      </c>
      <c r="BK59" s="16">
        <v>2.9725136328298318E-2</v>
      </c>
      <c r="BL59" s="16">
        <v>4.5396604707313992E-2</v>
      </c>
      <c r="BM59" s="16">
        <v>3.9779202075756248E-2</v>
      </c>
      <c r="BN59" s="16">
        <v>2.1032970341033908E-2</v>
      </c>
      <c r="BO59" s="16">
        <v>3.3829701513343746E-2</v>
      </c>
      <c r="BP59" s="16">
        <v>7.5299419780875176E-2</v>
      </c>
      <c r="BQ59" s="16">
        <v>3.2285296989171264E-2</v>
      </c>
      <c r="BR59" s="16">
        <v>2.0104397977935839E-2</v>
      </c>
      <c r="BS59" s="16">
        <v>2.9446223751905198E-2</v>
      </c>
      <c r="BT59" s="16">
        <v>5.1515100709594086E-2</v>
      </c>
      <c r="BU59" s="16">
        <v>5.0842557631712859E-3</v>
      </c>
      <c r="BV59" s="16">
        <v>8.7829228637107293E-2</v>
      </c>
      <c r="BW59" s="16">
        <v>3.0722604412168342E-2</v>
      </c>
      <c r="BX59" s="16">
        <v>4.9487729690571691E-2</v>
      </c>
      <c r="BY59" s="16">
        <v>5.71637880918624E-2</v>
      </c>
      <c r="BZ59" s="16">
        <v>2.0374428339415274E-2</v>
      </c>
      <c r="CA59" s="16">
        <v>1.5222336905948985E-3</v>
      </c>
      <c r="CB59" s="16">
        <v>8.3445489315798982E-2</v>
      </c>
      <c r="CC59" s="16">
        <v>3.2948311079415094E-2</v>
      </c>
      <c r="CD59" s="16">
        <v>4.844237400121898E-2</v>
      </c>
      <c r="CE59" s="16">
        <v>3.6271206414096091E-2</v>
      </c>
      <c r="CF59" s="16">
        <v>2.7079854299876138E-2</v>
      </c>
      <c r="CG59" s="16">
        <v>2.9311336854622949E-2</v>
      </c>
      <c r="CH59" s="16">
        <v>7.3886227981470043E-3</v>
      </c>
      <c r="CI59" s="16">
        <v>1.368651848084157E-2</v>
      </c>
      <c r="CJ59" s="16">
        <v>5.5119529651367904E-2</v>
      </c>
      <c r="CK59" s="16">
        <v>1.178171114722204E-2</v>
      </c>
      <c r="CL59" s="16">
        <v>2.2893313371825985E-2</v>
      </c>
      <c r="CM59" s="16">
        <v>1.1089970097457602E-2</v>
      </c>
      <c r="CN59" s="16">
        <v>3.9943212685635388E-2</v>
      </c>
      <c r="CO59" s="16">
        <v>5.429716455111977E-2</v>
      </c>
      <c r="CP59" s="16">
        <v>1.2673961617639784E-2</v>
      </c>
      <c r="CQ59" s="16">
        <v>2.7965527242563626E-2</v>
      </c>
      <c r="CR59" s="16">
        <v>2.1195596677331618E-2</v>
      </c>
      <c r="CS59" s="16">
        <v>6.6975628392136333E-3</v>
      </c>
      <c r="CT59" s="16">
        <v>4.0009120898167549E-2</v>
      </c>
      <c r="CU59" s="16">
        <v>5.6393498147747634E-3</v>
      </c>
      <c r="CV59" s="16">
        <v>3.9496520151190762E-2</v>
      </c>
      <c r="CW59" s="16">
        <v>4.4289601913993781E-2</v>
      </c>
      <c r="CX59" s="16">
        <v>1.417107731723144E-2</v>
      </c>
      <c r="CY59" s="16">
        <v>6.5120678465430903E-2</v>
      </c>
      <c r="CZ59" s="16">
        <v>7.7631194393318337E-3</v>
      </c>
      <c r="DA59" s="16">
        <v>3.4037007798904728E-2</v>
      </c>
      <c r="DB59" s="16">
        <v>4.5182415444338764E-2</v>
      </c>
      <c r="DC59" s="16">
        <v>2.0743008434716104E-2</v>
      </c>
      <c r="DD59" s="16">
        <v>2.6974479967618481E-2</v>
      </c>
      <c r="DE59" s="16">
        <v>3.28951597001097E-2</v>
      </c>
      <c r="DF59" s="16">
        <v>2.3164198587719453E-2</v>
      </c>
      <c r="DG59" s="16">
        <v>5.0868122226896961E-2</v>
      </c>
      <c r="DH59" s="16">
        <v>5.0077605259041702E-2</v>
      </c>
      <c r="DI59" s="16">
        <v>2.2189078177883403E-2</v>
      </c>
      <c r="DJ59" s="16">
        <v>1.6519314584506395E-2</v>
      </c>
      <c r="DK59" s="16">
        <v>2.0306264944936814E-2</v>
      </c>
      <c r="DL59" s="16">
        <v>1.2112329107964892E-2</v>
      </c>
      <c r="DM59" s="16">
        <v>1.4543595871111425E-2</v>
      </c>
      <c r="DN59" s="16">
        <v>6.2275604072099533E-3</v>
      </c>
    </row>
    <row r="60" spans="4:118" x14ac:dyDescent="0.2">
      <c r="D60" s="13">
        <v>52</v>
      </c>
      <c r="E60" s="14">
        <f>1-IFERROR(_xlfn.LOGNORM.DIST(D60,Parameter!$G$6,Parameter!$G$7,TRUE),0)</f>
        <v>2.9683033699006267E-2</v>
      </c>
      <c r="F60" s="15">
        <f t="shared" si="0"/>
        <v>7.0096097528226875E-2</v>
      </c>
      <c r="G60" s="15">
        <f t="shared" si="1"/>
        <v>5.7389891664047007E-3</v>
      </c>
      <c r="R60" s="14">
        <f ca="1">1-IFERROR(_xlfn.LOGNORM.DIST($D60,Parameter!$E$6,Parameter!$E$7,TRUE),0)</f>
        <v>2.8403214057497461E-2</v>
      </c>
      <c r="S60" s="16">
        <v>1.1226427839810427E-2</v>
      </c>
      <c r="T60" s="16">
        <v>1.1203024980782184E-2</v>
      </c>
      <c r="U60" s="16">
        <v>3.4961471915091136E-2</v>
      </c>
      <c r="V60" s="16">
        <v>6.3382124969579512E-2</v>
      </c>
      <c r="W60" s="16">
        <v>2.0303655354126371E-2</v>
      </c>
      <c r="X60" s="16">
        <v>1.6172053360928862E-2</v>
      </c>
      <c r="Y60" s="16">
        <v>8.7425323044424408E-3</v>
      </c>
      <c r="Z60" s="16">
        <v>2.5351578838216482E-2</v>
      </c>
      <c r="AA60" s="16">
        <v>4.7828215277017083E-2</v>
      </c>
      <c r="AB60" s="16">
        <v>4.1255361010597569E-2</v>
      </c>
      <c r="AC60" s="16">
        <v>2.5351381810258644E-2</v>
      </c>
      <c r="AD60" s="16">
        <v>2.5523226551986467E-2</v>
      </c>
      <c r="AE60" s="16">
        <v>2.8185381451397151E-2</v>
      </c>
      <c r="AF60" s="16">
        <v>3.8149906373896481E-2</v>
      </c>
      <c r="AG60" s="16">
        <v>2.4367090897583155E-2</v>
      </c>
      <c r="AH60" s="16">
        <v>3.8604685163018626E-2</v>
      </c>
      <c r="AI60" s="16">
        <v>1.1356854499345204E-2</v>
      </c>
      <c r="AJ60" s="16">
        <v>1.092149873463033E-2</v>
      </c>
      <c r="AK60" s="16">
        <v>4.5291174372823595E-2</v>
      </c>
      <c r="AL60" s="16">
        <v>2.4428187411191016E-2</v>
      </c>
      <c r="AM60" s="16">
        <v>6.0004523291579126E-3</v>
      </c>
      <c r="AN60" s="16">
        <v>6.5151364889779018E-2</v>
      </c>
      <c r="AO60" s="16">
        <v>1.5922549697561017E-2</v>
      </c>
      <c r="AP60" s="16">
        <v>3.5615829458548465E-2</v>
      </c>
      <c r="AQ60" s="16">
        <v>2.9015030750533022E-2</v>
      </c>
      <c r="AR60" s="16">
        <v>2.1277726447505918E-2</v>
      </c>
      <c r="AS60" s="16">
        <v>2.8700069978336962E-2</v>
      </c>
      <c r="AT60" s="16">
        <v>4.577010150049865E-2</v>
      </c>
      <c r="AU60" s="16">
        <v>6.3713257297580261E-2</v>
      </c>
      <c r="AV60" s="16">
        <v>3.2350595562445683E-2</v>
      </c>
      <c r="AW60" s="16">
        <v>3.9234608722504283E-2</v>
      </c>
      <c r="AX60" s="16">
        <v>1.0236590971372195E-2</v>
      </c>
      <c r="AY60" s="16">
        <v>2.5120768024975093E-2</v>
      </c>
      <c r="AZ60" s="16">
        <v>2.5847776245949472E-2</v>
      </c>
      <c r="BA60" s="16">
        <v>4.0363161425173821E-2</v>
      </c>
      <c r="BB60" s="16">
        <v>1.9383944688310395E-2</v>
      </c>
      <c r="BC60" s="16">
        <v>3.9827820094244681E-2</v>
      </c>
      <c r="BD60" s="16">
        <v>2.1545156817783573E-2</v>
      </c>
      <c r="BE60" s="16">
        <v>3.8607736566852013E-2</v>
      </c>
      <c r="BF60" s="16">
        <v>7.7421606344809657E-3</v>
      </c>
      <c r="BG60" s="16">
        <v>4.0509390306616377E-2</v>
      </c>
      <c r="BH60" s="16">
        <v>3.7701634741824974E-2</v>
      </c>
      <c r="BI60" s="16">
        <v>3.2529457550209084E-2</v>
      </c>
      <c r="BJ60" s="16">
        <v>3.9799930095634206E-2</v>
      </c>
      <c r="BK60" s="16">
        <v>2.9311929786425051E-2</v>
      </c>
      <c r="BL60" s="16">
        <v>4.4740475914835987E-2</v>
      </c>
      <c r="BM60" s="16">
        <v>3.9239646020668095E-2</v>
      </c>
      <c r="BN60" s="16">
        <v>2.0653876664973647E-2</v>
      </c>
      <c r="BO60" s="16">
        <v>3.3357973354094517E-2</v>
      </c>
      <c r="BP60" s="16">
        <v>7.4569903248727476E-2</v>
      </c>
      <c r="BQ60" s="16">
        <v>3.1854029093687841E-2</v>
      </c>
      <c r="BR60" s="16">
        <v>1.9748065172645934E-2</v>
      </c>
      <c r="BS60" s="16">
        <v>2.9049274934698444E-2</v>
      </c>
      <c r="BT60" s="16">
        <v>5.0792999894935686E-2</v>
      </c>
      <c r="BU60" s="16">
        <v>4.9547017979802987E-3</v>
      </c>
      <c r="BV60" s="16">
        <v>8.7000581499226626E-2</v>
      </c>
      <c r="BW60" s="16">
        <v>3.025690445649154E-2</v>
      </c>
      <c r="BX60" s="16">
        <v>4.879113647958877E-2</v>
      </c>
      <c r="BY60" s="16">
        <v>5.6522948506468329E-2</v>
      </c>
      <c r="BZ60" s="16">
        <v>1.9989222883685875E-2</v>
      </c>
      <c r="CA60" s="16">
        <v>1.4728491482832728E-3</v>
      </c>
      <c r="CB60" s="16">
        <v>8.2522979875279789E-2</v>
      </c>
      <c r="CC60" s="16">
        <v>3.2422377535301194E-2</v>
      </c>
      <c r="CD60" s="16">
        <v>4.7834057819814091E-2</v>
      </c>
      <c r="CE60" s="16">
        <v>3.5781921127006622E-2</v>
      </c>
      <c r="CF60" s="16">
        <v>2.666995263475147E-2</v>
      </c>
      <c r="CG60" s="16">
        <v>2.8846461080723418E-2</v>
      </c>
      <c r="CH60" s="16">
        <v>7.2218405294095511E-3</v>
      </c>
      <c r="CI60" s="16">
        <v>1.3463711172034931E-2</v>
      </c>
      <c r="CJ60" s="16">
        <v>5.4461947146283829E-2</v>
      </c>
      <c r="CK60" s="16">
        <v>1.1541536015823972E-2</v>
      </c>
      <c r="CL60" s="16">
        <v>2.2496378477132484E-2</v>
      </c>
      <c r="CM60" s="16">
        <v>1.087785347768333E-2</v>
      </c>
      <c r="CN60" s="16">
        <v>3.9432189052079125E-2</v>
      </c>
      <c r="CO60" s="16">
        <v>5.3627526557236016E-2</v>
      </c>
      <c r="CP60" s="16">
        <v>1.2417912130936348E-2</v>
      </c>
      <c r="CQ60" s="16">
        <v>2.7538950252464778E-2</v>
      </c>
      <c r="CR60" s="16">
        <v>2.084806482418311E-2</v>
      </c>
      <c r="CS60" s="16">
        <v>6.5480600560845481E-3</v>
      </c>
      <c r="CT60" s="16">
        <v>3.9331350894907247E-2</v>
      </c>
      <c r="CU60" s="16">
        <v>5.5024272572470334E-3</v>
      </c>
      <c r="CV60" s="16">
        <v>3.8983708908471471E-2</v>
      </c>
      <c r="CW60" s="16">
        <v>4.3717666635015862E-2</v>
      </c>
      <c r="CX60" s="16">
        <v>1.3933226793244269E-2</v>
      </c>
      <c r="CY60" s="16">
        <v>6.4356574580627379E-2</v>
      </c>
      <c r="CZ60" s="16">
        <v>7.5760169604158767E-3</v>
      </c>
      <c r="DA60" s="16">
        <v>3.3608060551748031E-2</v>
      </c>
      <c r="DB60" s="16">
        <v>4.4468596444533048E-2</v>
      </c>
      <c r="DC60" s="16">
        <v>2.0346523982432863E-2</v>
      </c>
      <c r="DD60" s="16">
        <v>2.6476078076905996E-2</v>
      </c>
      <c r="DE60" s="16">
        <v>3.2403854464140625E-2</v>
      </c>
      <c r="DF60" s="16">
        <v>2.281260799112439E-2</v>
      </c>
      <c r="DG60" s="16">
        <v>5.0276372177279982E-2</v>
      </c>
      <c r="DH60" s="16">
        <v>4.9444569415306505E-2</v>
      </c>
      <c r="DI60" s="16">
        <v>2.182190954102714E-2</v>
      </c>
      <c r="DJ60" s="16">
        <v>1.620857186964697E-2</v>
      </c>
      <c r="DK60" s="16">
        <v>1.9983073203852952E-2</v>
      </c>
      <c r="DL60" s="16">
        <v>1.1895621908810439E-2</v>
      </c>
      <c r="DM60" s="16">
        <v>1.4269448735440671E-2</v>
      </c>
      <c r="DN60" s="16">
        <v>6.07993200459922E-3</v>
      </c>
    </row>
    <row r="61" spans="4:118" x14ac:dyDescent="0.2">
      <c r="D61" s="13">
        <v>53</v>
      </c>
      <c r="E61" s="14">
        <f>1-IFERROR(_xlfn.LOGNORM.DIST(D61,Parameter!$G$6,Parameter!$G$7,TRUE),0)</f>
        <v>2.9244355572522585E-2</v>
      </c>
      <c r="F61" s="15">
        <f t="shared" si="0"/>
        <v>6.9379151728234445E-2</v>
      </c>
      <c r="G61" s="15">
        <f t="shared" si="1"/>
        <v>5.5998907845259934E-3</v>
      </c>
      <c r="R61" s="14">
        <f ca="1">1-IFERROR(_xlfn.LOGNORM.DIST($D61,Parameter!$E$6,Parameter!$E$7,TRUE),0)</f>
        <v>2.7956435176719308E-2</v>
      </c>
      <c r="S61" s="16">
        <v>1.1026844644013267E-2</v>
      </c>
      <c r="T61" s="16">
        <v>1.0987278823404001E-2</v>
      </c>
      <c r="U61" s="16">
        <v>3.4413816824080068E-2</v>
      </c>
      <c r="V61" s="16">
        <v>6.2661727218697005E-2</v>
      </c>
      <c r="W61" s="16">
        <v>1.9989633307371357E-2</v>
      </c>
      <c r="X61" s="16">
        <v>1.5860837062407152E-2</v>
      </c>
      <c r="Y61" s="16">
        <v>8.5630130392702064E-3</v>
      </c>
      <c r="Z61" s="16">
        <v>2.4998891333206097E-2</v>
      </c>
      <c r="AA61" s="16">
        <v>4.7242784094871704E-2</v>
      </c>
      <c r="AB61" s="16">
        <v>4.0639760009535619E-2</v>
      </c>
      <c r="AC61" s="16">
        <v>2.4955643732533228E-2</v>
      </c>
      <c r="AD61" s="16">
        <v>2.5129210559162618E-2</v>
      </c>
      <c r="AE61" s="16">
        <v>2.7764827802803316E-2</v>
      </c>
      <c r="AF61" s="16">
        <v>3.7620788922148818E-2</v>
      </c>
      <c r="AG61" s="16">
        <v>2.3890752275387395E-2</v>
      </c>
      <c r="AH61" s="16">
        <v>3.8124823025899146E-2</v>
      </c>
      <c r="AI61" s="16">
        <v>1.1144964705836369E-2</v>
      </c>
      <c r="AJ61" s="16">
        <v>1.0701137165928354E-2</v>
      </c>
      <c r="AK61" s="16">
        <v>4.4778022852397403E-2</v>
      </c>
      <c r="AL61" s="16">
        <v>2.4064624435373272E-2</v>
      </c>
      <c r="AM61" s="16">
        <v>5.8528852368667783E-3</v>
      </c>
      <c r="AN61" s="16">
        <v>6.442714722211984E-2</v>
      </c>
      <c r="AO61" s="16">
        <v>1.5644330087744462E-2</v>
      </c>
      <c r="AP61" s="16">
        <v>3.5174100035766931E-2</v>
      </c>
      <c r="AQ61" s="16">
        <v>2.8632637577288511E-2</v>
      </c>
      <c r="AR61" s="16">
        <v>2.089574140457795E-2</v>
      </c>
      <c r="AS61" s="16">
        <v>2.8272927916105361E-2</v>
      </c>
      <c r="AT61" s="16">
        <v>4.5201960568272748E-2</v>
      </c>
      <c r="AU61" s="16">
        <v>6.299737758497348E-2</v>
      </c>
      <c r="AV61" s="16">
        <v>3.1846967589619912E-2</v>
      </c>
      <c r="AW61" s="16">
        <v>3.87696835562652E-2</v>
      </c>
      <c r="AX61" s="16">
        <v>1.0028218420682133E-2</v>
      </c>
      <c r="AY61" s="16">
        <v>2.467814798560064E-2</v>
      </c>
      <c r="AZ61" s="16">
        <v>2.5463397362243567E-2</v>
      </c>
      <c r="BA61" s="16">
        <v>3.9734422395929503E-2</v>
      </c>
      <c r="BB61" s="16">
        <v>1.904616873863374E-2</v>
      </c>
      <c r="BC61" s="16">
        <v>3.9227387488124044E-2</v>
      </c>
      <c r="BD61" s="16">
        <v>2.1240156309679903E-2</v>
      </c>
      <c r="BE61" s="16">
        <v>3.8082807750152936E-2</v>
      </c>
      <c r="BF61" s="16">
        <v>7.5659923057750378E-3</v>
      </c>
      <c r="BG61" s="16">
        <v>3.9898631668628726E-2</v>
      </c>
      <c r="BH61" s="16">
        <v>3.7212576236820838E-2</v>
      </c>
      <c r="BI61" s="16">
        <v>3.2097186484833728E-2</v>
      </c>
      <c r="BJ61" s="16">
        <v>3.9270246648214768E-2</v>
      </c>
      <c r="BK61" s="16">
        <v>2.8911240262277427E-2</v>
      </c>
      <c r="BL61" s="16">
        <v>4.4104286759011457E-2</v>
      </c>
      <c r="BM61" s="16">
        <v>3.8716169686048296E-2</v>
      </c>
      <c r="BN61" s="16">
        <v>2.0287643091729146E-2</v>
      </c>
      <c r="BO61" s="16">
        <v>3.2900507173681759E-2</v>
      </c>
      <c r="BP61" s="16">
        <v>7.3859536757576394E-2</v>
      </c>
      <c r="BQ61" s="16">
        <v>3.1435610879747222E-2</v>
      </c>
      <c r="BR61" s="16">
        <v>1.9403743447815369E-2</v>
      </c>
      <c r="BS61" s="16">
        <v>2.8664217749787668E-2</v>
      </c>
      <c r="BT61" s="16">
        <v>5.0092507848480516E-2</v>
      </c>
      <c r="BU61" s="16">
        <v>4.8304815434427884E-3</v>
      </c>
      <c r="BV61" s="16">
        <v>8.6193406742161027E-2</v>
      </c>
      <c r="BW61" s="16">
        <v>2.9805775189923334E-2</v>
      </c>
      <c r="BX61" s="16">
        <v>4.8115448444598918E-2</v>
      </c>
      <c r="BY61" s="16">
        <v>5.589982989603115E-2</v>
      </c>
      <c r="BZ61" s="16">
        <v>1.9617375928865255E-2</v>
      </c>
      <c r="CA61" s="16">
        <v>1.4258301166869547E-3</v>
      </c>
      <c r="CB61" s="16">
        <v>8.1625523139581824E-2</v>
      </c>
      <c r="CC61" s="16">
        <v>3.1913211450025236E-2</v>
      </c>
      <c r="CD61" s="16">
        <v>4.7243286803193785E-2</v>
      </c>
      <c r="CE61" s="16">
        <v>3.5307224121147285E-2</v>
      </c>
      <c r="CF61" s="16">
        <v>2.6272907257931299E-2</v>
      </c>
      <c r="CG61" s="16">
        <v>2.8396412038999341E-2</v>
      </c>
      <c r="CH61" s="16">
        <v>7.0614700594182622E-3</v>
      </c>
      <c r="CI61" s="16">
        <v>1.3248197675643447E-2</v>
      </c>
      <c r="CJ61" s="16">
        <v>5.3822934937013067E-2</v>
      </c>
      <c r="CK61" s="16">
        <v>1.1310078658437472E-2</v>
      </c>
      <c r="CL61" s="16">
        <v>2.2112659124751688E-2</v>
      </c>
      <c r="CM61" s="16">
        <v>1.0673216934939056E-2</v>
      </c>
      <c r="CN61" s="16">
        <v>3.8936080179188259E-2</v>
      </c>
      <c r="CO61" s="16">
        <v>5.2977017178449382E-2</v>
      </c>
      <c r="CP61" s="16">
        <v>1.2171105198824472E-2</v>
      </c>
      <c r="CQ61" s="16">
        <v>2.712578325751891E-2</v>
      </c>
      <c r="CR61" s="16">
        <v>2.0511852249260776E-2</v>
      </c>
      <c r="CS61" s="16">
        <v>6.4042803582656793E-3</v>
      </c>
      <c r="CT61" s="16">
        <v>3.8675598200370809E-2</v>
      </c>
      <c r="CU61" s="16">
        <v>5.3709910419319495E-3</v>
      </c>
      <c r="CV61" s="16">
        <v>3.8485946554288164E-2</v>
      </c>
      <c r="CW61" s="16">
        <v>4.3162430716058742E-2</v>
      </c>
      <c r="CX61" s="16">
        <v>1.3703259202798801E-2</v>
      </c>
      <c r="CY61" s="16">
        <v>6.3613813186835122E-2</v>
      </c>
      <c r="CZ61" s="16">
        <v>7.3963485781053384E-3</v>
      </c>
      <c r="DA61" s="16">
        <v>3.3191616949960867E-2</v>
      </c>
      <c r="DB61" s="16">
        <v>4.3777230688112123E-2</v>
      </c>
      <c r="DC61" s="16">
        <v>1.9963852065319032E-2</v>
      </c>
      <c r="DD61" s="16">
        <v>2.5994670047471025E-2</v>
      </c>
      <c r="DE61" s="16">
        <v>3.1927806230396372E-2</v>
      </c>
      <c r="DF61" s="16">
        <v>2.2472094467357429E-2</v>
      </c>
      <c r="DG61" s="16">
        <v>4.9701237840782508E-2</v>
      </c>
      <c r="DH61" s="16">
        <v>4.8829814649746339E-2</v>
      </c>
      <c r="DI61" s="16">
        <v>2.1466733978975139E-2</v>
      </c>
      <c r="DJ61" s="16">
        <v>1.5908627453487756E-2</v>
      </c>
      <c r="DK61" s="16">
        <v>1.9670288456337781E-2</v>
      </c>
      <c r="DL61" s="16">
        <v>1.1686318629746895E-2</v>
      </c>
      <c r="DM61" s="16">
        <v>1.4004860176663025E-2</v>
      </c>
      <c r="DN61" s="16">
        <v>5.9381374791694919E-3</v>
      </c>
    </row>
    <row r="62" spans="4:118" x14ac:dyDescent="0.2">
      <c r="D62" s="13">
        <v>54</v>
      </c>
      <c r="E62" s="14">
        <f>1-IFERROR(_xlfn.LOGNORM.DIST(D62,Parameter!$G$6,Parameter!$G$7,TRUE),0)</f>
        <v>2.8819125716111338E-2</v>
      </c>
      <c r="F62" s="15">
        <f t="shared" si="0"/>
        <v>6.8681148583032814E-2</v>
      </c>
      <c r="G62" s="15">
        <f t="shared" si="1"/>
        <v>5.4663119753532666E-3</v>
      </c>
      <c r="R62" s="14">
        <f ca="1">1-IFERROR(_xlfn.LOGNORM.DIST($D62,Parameter!$E$6,Parameter!$E$7,TRUE),0)</f>
        <v>2.7523713474237987E-2</v>
      </c>
      <c r="S62" s="16">
        <v>1.0833999881006418E-2</v>
      </c>
      <c r="T62" s="16">
        <v>1.0779088593054431E-2</v>
      </c>
      <c r="U62" s="16">
        <v>3.3883271171684215E-2</v>
      </c>
      <c r="V62" s="16">
        <v>6.1961015440322287E-2</v>
      </c>
      <c r="W62" s="16">
        <v>1.9685496327551455E-2</v>
      </c>
      <c r="X62" s="16">
        <v>1.5560444916461136E-2</v>
      </c>
      <c r="Y62" s="16">
        <v>8.3900016318034787E-3</v>
      </c>
      <c r="Z62" s="16">
        <v>2.4656804671622456E-2</v>
      </c>
      <c r="AA62" s="16">
        <v>4.6673893488912377E-2</v>
      </c>
      <c r="AB62" s="16">
        <v>4.0042934759966231E-2</v>
      </c>
      <c r="AC62" s="16">
        <v>2.4572351411658699E-2</v>
      </c>
      <c r="AD62" s="16">
        <v>2.4747528526893103E-2</v>
      </c>
      <c r="AE62" s="16">
        <v>2.7357231405416682E-2</v>
      </c>
      <c r="AF62" s="16">
        <v>3.7107401740920087E-2</v>
      </c>
      <c r="AG62" s="16">
        <v>2.3430950567351894E-2</v>
      </c>
      <c r="AH62" s="16">
        <v>3.7658671292320367E-2</v>
      </c>
      <c r="AI62" s="16">
        <v>1.0940385945035103E-2</v>
      </c>
      <c r="AJ62" s="16">
        <v>1.048866883325239E-2</v>
      </c>
      <c r="AK62" s="16">
        <v>4.4279024928056132E-2</v>
      </c>
      <c r="AL62" s="16">
        <v>2.371228762495714E-2</v>
      </c>
      <c r="AM62" s="16">
        <v>5.7112152376953551E-3</v>
      </c>
      <c r="AN62" s="16">
        <v>6.3722563102237451E-2</v>
      </c>
      <c r="AO62" s="16">
        <v>1.5375376463716672E-2</v>
      </c>
      <c r="AP62" s="16">
        <v>3.474500723924856E-2</v>
      </c>
      <c r="AQ62" s="16">
        <v>2.8261476188229273E-2</v>
      </c>
      <c r="AR62" s="16">
        <v>2.0526555722211404E-2</v>
      </c>
      <c r="AS62" s="16">
        <v>2.7858927243580411E-2</v>
      </c>
      <c r="AT62" s="16">
        <v>4.4649969419793045E-2</v>
      </c>
      <c r="AU62" s="16">
        <v>6.2300985915410445E-2</v>
      </c>
      <c r="AV62" s="16">
        <v>3.1359067257149986E-2</v>
      </c>
      <c r="AW62" s="16">
        <v>3.8317821636127181E-2</v>
      </c>
      <c r="AX62" s="16">
        <v>9.8273493667198064E-3</v>
      </c>
      <c r="AY62" s="16">
        <v>2.4250181099151225E-2</v>
      </c>
      <c r="AZ62" s="16">
        <v>2.5090868921582521E-2</v>
      </c>
      <c r="BA62" s="16">
        <v>3.9125200303934959E-2</v>
      </c>
      <c r="BB62" s="16">
        <v>1.8719585531872696E-2</v>
      </c>
      <c r="BC62" s="16">
        <v>3.8645360840026788E-2</v>
      </c>
      <c r="BD62" s="16">
        <v>2.0944415090745738E-2</v>
      </c>
      <c r="BE62" s="16">
        <v>3.7573365246640122E-2</v>
      </c>
      <c r="BF62" s="16">
        <v>7.3965586550562845E-3</v>
      </c>
      <c r="BG62" s="16">
        <v>3.9306586696110091E-2</v>
      </c>
      <c r="BH62" s="16">
        <v>3.673771094392364E-2</v>
      </c>
      <c r="BI62" s="16">
        <v>3.167761705483374E-2</v>
      </c>
      <c r="BJ62" s="16">
        <v>3.8756055379272958E-2</v>
      </c>
      <c r="BK62" s="16">
        <v>2.8522477003703695E-2</v>
      </c>
      <c r="BL62" s="16">
        <v>4.3487100041727178E-2</v>
      </c>
      <c r="BM62" s="16">
        <v>3.8208023185816509E-2</v>
      </c>
      <c r="BN62" s="16">
        <v>1.9933622143617713E-2</v>
      </c>
      <c r="BO62" s="16">
        <v>3.2456631555951132E-2</v>
      </c>
      <c r="BP62" s="16">
        <v>7.3167487827562105E-2</v>
      </c>
      <c r="BQ62" s="16">
        <v>3.1029441623928067E-2</v>
      </c>
      <c r="BR62" s="16">
        <v>1.9070829873176209E-2</v>
      </c>
      <c r="BS62" s="16">
        <v>2.8290494140717826E-2</v>
      </c>
      <c r="BT62" s="16">
        <v>4.941261884917425E-2</v>
      </c>
      <c r="BU62" s="16">
        <v>4.7112899344894377E-3</v>
      </c>
      <c r="BV62" s="16">
        <v>8.5406778701041963E-2</v>
      </c>
      <c r="BW62" s="16">
        <v>2.9368517501949909E-2</v>
      </c>
      <c r="BX62" s="16">
        <v>4.7459690547421052E-2</v>
      </c>
      <c r="BY62" s="16">
        <v>5.529363971196255E-2</v>
      </c>
      <c r="BZ62" s="16">
        <v>1.9258206394259125E-2</v>
      </c>
      <c r="CA62" s="16">
        <v>1.3810261881139763E-3</v>
      </c>
      <c r="CB62" s="16">
        <v>8.0752015333437122E-2</v>
      </c>
      <c r="CC62" s="16">
        <v>3.1420001136350018E-2</v>
      </c>
      <c r="CD62" s="16">
        <v>4.6669258178111961E-2</v>
      </c>
      <c r="CE62" s="16">
        <v>3.4846434088592448E-2</v>
      </c>
      <c r="CF62" s="16">
        <v>2.5888099573952328E-2</v>
      </c>
      <c r="CG62" s="16">
        <v>2.7960470680770233E-2</v>
      </c>
      <c r="CH62" s="16">
        <v>6.9071607593156337E-3</v>
      </c>
      <c r="CI62" s="16">
        <v>1.3039616417158451E-2</v>
      </c>
      <c r="CJ62" s="16">
        <v>5.3201653625579159E-2</v>
      </c>
      <c r="CK62" s="16">
        <v>1.1086880173589719E-2</v>
      </c>
      <c r="CL62" s="16">
        <v>2.1741497407612775E-2</v>
      </c>
      <c r="CM62" s="16">
        <v>1.0475673020859388E-2</v>
      </c>
      <c r="CN62" s="16">
        <v>3.845419782760795E-2</v>
      </c>
      <c r="CO62" s="16">
        <v>5.2344766791192043E-2</v>
      </c>
      <c r="CP62" s="16">
        <v>1.193305620208307E-2</v>
      </c>
      <c r="CQ62" s="16">
        <v>2.6725380482252814E-2</v>
      </c>
      <c r="CR62" s="16">
        <v>2.018640165120078E-2</v>
      </c>
      <c r="CS62" s="16">
        <v>6.265911329692786E-3</v>
      </c>
      <c r="CT62" s="16">
        <v>3.804079000341376E-2</v>
      </c>
      <c r="CU62" s="16">
        <v>5.2447328332342336E-3</v>
      </c>
      <c r="CV62" s="16">
        <v>3.8002536649320184E-2</v>
      </c>
      <c r="CW62" s="16">
        <v>4.262312446021721E-2</v>
      </c>
      <c r="CX62" s="16">
        <v>1.348078117892082E-2</v>
      </c>
      <c r="CY62" s="16">
        <v>6.2891437226116342E-2</v>
      </c>
      <c r="CZ62" s="16">
        <v>7.2236997731882635E-3</v>
      </c>
      <c r="DA62" s="16">
        <v>3.2787099311597956E-2</v>
      </c>
      <c r="DB62" s="16">
        <v>4.3107244359811836E-2</v>
      </c>
      <c r="DC62" s="16">
        <v>1.9594286828412577E-2</v>
      </c>
      <c r="DD62" s="16">
        <v>2.5529400768047217E-2</v>
      </c>
      <c r="DE62" s="16">
        <v>3.1466286463056936E-2</v>
      </c>
      <c r="DF62" s="16">
        <v>2.2142122840422052E-2</v>
      </c>
      <c r="DG62" s="16">
        <v>4.9141969380656736E-2</v>
      </c>
      <c r="DH62" s="16">
        <v>4.8232504414690958E-2</v>
      </c>
      <c r="DI62" s="16">
        <v>2.1122960396830703E-2</v>
      </c>
      <c r="DJ62" s="16">
        <v>1.5618928803351917E-2</v>
      </c>
      <c r="DK62" s="16">
        <v>1.936740126166292E-2</v>
      </c>
      <c r="DL62" s="16">
        <v>1.148404292656291E-2</v>
      </c>
      <c r="DM62" s="16">
        <v>1.3749339519607773E-2</v>
      </c>
      <c r="DN62" s="16">
        <v>5.8018519896532172E-3</v>
      </c>
    </row>
    <row r="63" spans="4:118" x14ac:dyDescent="0.2">
      <c r="D63" s="13">
        <v>55</v>
      </c>
      <c r="E63" s="14">
        <f>1-IFERROR(_xlfn.LOGNORM.DIST(D63,Parameter!$G$6,Parameter!$G$7,TRUE),0)</f>
        <v>2.840671092677105E-2</v>
      </c>
      <c r="F63" s="15">
        <f t="shared" si="0"/>
        <v>6.8001269021678273E-2</v>
      </c>
      <c r="G63" s="15">
        <f t="shared" si="1"/>
        <v>5.3379465425484329E-3</v>
      </c>
      <c r="R63" s="14">
        <f ca="1">1-IFERROR(_xlfn.LOGNORM.DIST($D63,Parameter!$E$6,Parameter!$E$7,TRUE),0)</f>
        <v>2.7104377566555704E-2</v>
      </c>
      <c r="S63" s="16">
        <v>1.0647555751995497E-2</v>
      </c>
      <c r="T63" s="16">
        <v>1.0578067449243389E-2</v>
      </c>
      <c r="U63" s="16">
        <v>3.3369023208789428E-2</v>
      </c>
      <c r="V63" s="16">
        <v>6.1279123865361496E-2</v>
      </c>
      <c r="W63" s="16">
        <v>1.9390770367722521E-2</v>
      </c>
      <c r="X63" s="16">
        <v>1.5270326991997485E-2</v>
      </c>
      <c r="Y63" s="16">
        <v>8.2231573885761522E-3</v>
      </c>
      <c r="Z63" s="16">
        <v>2.4324824012015522E-2</v>
      </c>
      <c r="AA63" s="16">
        <v>4.612080102257643E-2</v>
      </c>
      <c r="AB63" s="16">
        <v>3.9464007685382052E-2</v>
      </c>
      <c r="AC63" s="16">
        <v>2.4200909730801023E-2</v>
      </c>
      <c r="AD63" s="16">
        <v>2.4377592198327691E-2</v>
      </c>
      <c r="AE63" s="16">
        <v>2.6961980182558243E-2</v>
      </c>
      <c r="AF63" s="16">
        <v>3.6609018240302826E-2</v>
      </c>
      <c r="AG63" s="16">
        <v>2.2986850975322159E-2</v>
      </c>
      <c r="AH63" s="16">
        <v>3.7205609386890215E-2</v>
      </c>
      <c r="AI63" s="16">
        <v>1.074274716094592E-2</v>
      </c>
      <c r="AJ63" s="16">
        <v>1.0283684221364164E-2</v>
      </c>
      <c r="AK63" s="16">
        <v>4.3793552340506636E-2</v>
      </c>
      <c r="AL63" s="16">
        <v>2.337064519046772E-2</v>
      </c>
      <c r="AM63" s="16">
        <v>5.575113891777228E-3</v>
      </c>
      <c r="AN63" s="16">
        <v>6.3036752679655028E-2</v>
      </c>
      <c r="AO63" s="16">
        <v>1.5115229334824343E-2</v>
      </c>
      <c r="AP63" s="16">
        <v>3.4327978201228682E-2</v>
      </c>
      <c r="AQ63" s="16">
        <v>2.7901029303167291E-2</v>
      </c>
      <c r="AR63" s="16">
        <v>2.0169534595373406E-2</v>
      </c>
      <c r="AS63" s="16">
        <v>2.7457447790240064E-2</v>
      </c>
      <c r="AT63" s="16">
        <v>4.4113400536165193E-2</v>
      </c>
      <c r="AU63" s="16">
        <v>6.162322683353183E-2</v>
      </c>
      <c r="AV63" s="16">
        <v>3.0886147677510745E-2</v>
      </c>
      <c r="AW63" s="16">
        <v>3.7878436747792787E-2</v>
      </c>
      <c r="AX63" s="16">
        <v>9.6335930734955388E-3</v>
      </c>
      <c r="AY63" s="16">
        <v>2.3836146969238525E-2</v>
      </c>
      <c r="AZ63" s="16">
        <v>2.4729630374921929E-2</v>
      </c>
      <c r="BA63" s="16">
        <v>3.8534574380139075E-2</v>
      </c>
      <c r="BB63" s="16">
        <v>1.8403642736358305E-2</v>
      </c>
      <c r="BC63" s="16">
        <v>3.8080877143966574E-2</v>
      </c>
      <c r="BD63" s="16">
        <v>2.0657497966414029E-2</v>
      </c>
      <c r="BE63" s="16">
        <v>3.7078696640586162E-2</v>
      </c>
      <c r="BF63" s="16">
        <v>7.2334953961391557E-3</v>
      </c>
      <c r="BG63" s="16">
        <v>3.873237840975674E-2</v>
      </c>
      <c r="BH63" s="16">
        <v>3.6276391148353682E-2</v>
      </c>
      <c r="BI63" s="16">
        <v>3.1270164897414521E-2</v>
      </c>
      <c r="BJ63" s="16">
        <v>3.8256647008260813E-2</v>
      </c>
      <c r="BK63" s="16">
        <v>2.8145086998649815E-2</v>
      </c>
      <c r="BL63" s="16">
        <v>4.288803807467545E-2</v>
      </c>
      <c r="BM63" s="16">
        <v>3.7714504092341228E-2</v>
      </c>
      <c r="BN63" s="16">
        <v>1.9591209501327422E-2</v>
      </c>
      <c r="BO63" s="16">
        <v>3.2025717873169324E-2</v>
      </c>
      <c r="BP63" s="16">
        <v>7.2492974283508982E-2</v>
      </c>
      <c r="BQ63" s="16">
        <v>3.063495873687605E-2</v>
      </c>
      <c r="BR63" s="16">
        <v>1.8748761646620871E-2</v>
      </c>
      <c r="BS63" s="16">
        <v>2.7927581580368233E-2</v>
      </c>
      <c r="BT63" s="16">
        <v>4.8752390586690897E-2</v>
      </c>
      <c r="BU63" s="16">
        <v>4.596844209463713E-3</v>
      </c>
      <c r="BV63" s="16">
        <v>8.4639827303802262E-2</v>
      </c>
      <c r="BW63" s="16">
        <v>2.8944477385088097E-2</v>
      </c>
      <c r="BX63" s="16">
        <v>4.6822949329234032E-2</v>
      </c>
      <c r="BY63" s="16">
        <v>5.4703634197773798E-2</v>
      </c>
      <c r="BZ63" s="16">
        <v>1.8911078966454609E-2</v>
      </c>
      <c r="CA63" s="16">
        <v>1.3382988603257706E-3</v>
      </c>
      <c r="CB63" s="16">
        <v>7.990141979175458E-2</v>
      </c>
      <c r="CC63" s="16">
        <v>3.0941987521627912E-2</v>
      </c>
      <c r="CD63" s="16">
        <v>4.6111219323736963E-2</v>
      </c>
      <c r="CE63" s="16">
        <v>3.4398912908558232E-2</v>
      </c>
      <c r="CF63" s="16">
        <v>2.551495100323109E-2</v>
      </c>
      <c r="CG63" s="16">
        <v>2.7537964667153747E-2</v>
      </c>
      <c r="CH63" s="16">
        <v>6.7585868228883239E-3</v>
      </c>
      <c r="CI63" s="16">
        <v>1.2837629750785506E-2</v>
      </c>
      <c r="CJ63" s="16">
        <v>5.2597315824485014E-2</v>
      </c>
      <c r="CK63" s="16">
        <v>1.0871513256712095E-2</v>
      </c>
      <c r="CL63" s="16">
        <v>2.1382278936478927E-2</v>
      </c>
      <c r="CM63" s="16">
        <v>1.0284860695657039E-2</v>
      </c>
      <c r="CN63" s="16">
        <v>3.7985897039784056E-2</v>
      </c>
      <c r="CO63" s="16">
        <v>5.1729959841381512E-2</v>
      </c>
      <c r="CP63" s="16">
        <v>1.1703313788784198E-2</v>
      </c>
      <c r="CQ63" s="16">
        <v>2.6337137936797483E-2</v>
      </c>
      <c r="CR63" s="16">
        <v>1.9871192359349088E-2</v>
      </c>
      <c r="CS63" s="16">
        <v>6.1326626574088605E-3</v>
      </c>
      <c r="CT63" s="16">
        <v>3.7425923150744889E-2</v>
      </c>
      <c r="CU63" s="16">
        <v>5.1233665599128564E-3</v>
      </c>
      <c r="CV63" s="16">
        <v>3.753282663124502E-2</v>
      </c>
      <c r="CW63" s="16">
        <v>4.2099026501622561E-2</v>
      </c>
      <c r="CX63" s="16">
        <v>1.3265425493633853E-2</v>
      </c>
      <c r="CY63" s="16">
        <v>6.2188548573895552E-2</v>
      </c>
      <c r="CZ63" s="16">
        <v>7.0576857451108976E-3</v>
      </c>
      <c r="DA63" s="16">
        <v>3.2393966350525272E-2</v>
      </c>
      <c r="DB63" s="16">
        <v>4.2457632515358501E-2</v>
      </c>
      <c r="DC63" s="16">
        <v>1.9237169909648411E-2</v>
      </c>
      <c r="DD63" s="16">
        <v>2.5079471977164203E-2</v>
      </c>
      <c r="DE63" s="16">
        <v>3.101861346517254E-2</v>
      </c>
      <c r="DF63" s="16">
        <v>2.1822192678394026E-2</v>
      </c>
      <c r="DG63" s="16">
        <v>4.8597863410293485E-2</v>
      </c>
      <c r="DH63" s="16">
        <v>4.7651854412712691E-2</v>
      </c>
      <c r="DI63" s="16">
        <v>2.0790036564695691E-2</v>
      </c>
      <c r="DJ63" s="16">
        <v>1.5338960660164047E-2</v>
      </c>
      <c r="DK63" s="16">
        <v>1.907393555245207E-2</v>
      </c>
      <c r="DL63" s="16">
        <v>1.1288443782969004E-2</v>
      </c>
      <c r="DM63" s="16">
        <v>1.3502429286412543E-2</v>
      </c>
      <c r="DN63" s="16">
        <v>5.6707739927884804E-3</v>
      </c>
    </row>
    <row r="64" spans="4:118" x14ac:dyDescent="0.2">
      <c r="D64" s="13">
        <v>56</v>
      </c>
      <c r="E64" s="14">
        <f>1-IFERROR(_xlfn.LOGNORM.DIST(D64,Parameter!$G$6,Parameter!$G$7,TRUE),0)</f>
        <v>2.8006518119839785E-2</v>
      </c>
      <c r="F64" s="15">
        <f t="shared" si="0"/>
        <v>6.7338742977594873E-2</v>
      </c>
      <c r="G64" s="15">
        <f t="shared" si="1"/>
        <v>5.214510080434648E-3</v>
      </c>
      <c r="R64" s="14">
        <f ca="1">1-IFERROR(_xlfn.LOGNORM.DIST($D64,Parameter!$E$6,Parameter!$E$7,TRUE),0)</f>
        <v>2.6697798994086752E-2</v>
      </c>
      <c r="S64" s="16">
        <v>1.0467196859038408E-2</v>
      </c>
      <c r="T64" s="16">
        <v>1.0383854558436045E-2</v>
      </c>
      <c r="U64" s="16">
        <v>3.2870312778463862E-2</v>
      </c>
      <c r="V64" s="16">
        <v>6.0615239064753412E-2</v>
      </c>
      <c r="W64" s="16">
        <v>1.9105011837739383E-2</v>
      </c>
      <c r="X64" s="16">
        <v>1.4989970058752244E-2</v>
      </c>
      <c r="Y64" s="16">
        <v>8.0621628897008524E-3</v>
      </c>
      <c r="Z64" s="16">
        <v>2.4002485732404377E-2</v>
      </c>
      <c r="AA64" s="16">
        <v>4.5582809794874501E-2</v>
      </c>
      <c r="AB64" s="16">
        <v>3.8902156400025367E-2</v>
      </c>
      <c r="AC64" s="16">
        <v>2.3840761682492273E-2</v>
      </c>
      <c r="AD64" s="16">
        <v>2.4018850925144664E-2</v>
      </c>
      <c r="AE64" s="16">
        <v>2.6578500930036886E-2</v>
      </c>
      <c r="AF64" s="16">
        <v>3.6124957243380162E-2</v>
      </c>
      <c r="AG64" s="16">
        <v>2.2557673986091098E-2</v>
      </c>
      <c r="AH64" s="16">
        <v>3.67650550499935E-2</v>
      </c>
      <c r="AI64" s="16">
        <v>1.0551702100595417E-2</v>
      </c>
      <c r="AJ64" s="16">
        <v>1.0085801589619137E-2</v>
      </c>
      <c r="AK64" s="16">
        <v>4.332101512719233E-2</v>
      </c>
      <c r="AL64" s="16">
        <v>2.3039199208346517E-2</v>
      </c>
      <c r="AM64" s="16">
        <v>5.4442761896925651E-3</v>
      </c>
      <c r="AN64" s="16">
        <v>6.2368907948779695E-2</v>
      </c>
      <c r="AO64" s="16">
        <v>1.4863459409588997E-2</v>
      </c>
      <c r="AP64" s="16">
        <v>3.3922475477133229E-2</v>
      </c>
      <c r="AQ64" s="16">
        <v>2.7550811979910828E-2</v>
      </c>
      <c r="AR64" s="16">
        <v>1.9824084857488988E-2</v>
      </c>
      <c r="AS64" s="16">
        <v>2.7067908743235503E-2</v>
      </c>
      <c r="AT64" s="16">
        <v>4.3591571130715656E-2</v>
      </c>
      <c r="AU64" s="16">
        <v>6.0963296543010248E-2</v>
      </c>
      <c r="AV64" s="16">
        <v>3.0427509495162153E-2</v>
      </c>
      <c r="AW64" s="16">
        <v>3.7450978680131808E-2</v>
      </c>
      <c r="AX64" s="16">
        <v>9.4465853803124E-3</v>
      </c>
      <c r="AY64" s="16">
        <v>2.3435372128753795E-2</v>
      </c>
      <c r="AZ64" s="16">
        <v>2.4379156825022563E-2</v>
      </c>
      <c r="BA64" s="16">
        <v>3.7961682092289117E-2</v>
      </c>
      <c r="BB64" s="16">
        <v>1.8097824161427911E-2</v>
      </c>
      <c r="BC64" s="16">
        <v>3.7533127789072696E-2</v>
      </c>
      <c r="BD64" s="16">
        <v>2.0378997342027527E-2</v>
      </c>
      <c r="BE64" s="16">
        <v>3.6598133931055377E-2</v>
      </c>
      <c r="BF64" s="16">
        <v>7.0764636896052391E-3</v>
      </c>
      <c r="BG64" s="16">
        <v>3.8175185079207363E-2</v>
      </c>
      <c r="BH64" s="16">
        <v>3.5828009331047239E-2</v>
      </c>
      <c r="BI64" s="16">
        <v>3.0874282131025055E-2</v>
      </c>
      <c r="BJ64" s="16">
        <v>3.777135633681783E-2</v>
      </c>
      <c r="BK64" s="16">
        <v>2.7778551949439345E-2</v>
      </c>
      <c r="BL64" s="16">
        <v>4.2306277939456183E-2</v>
      </c>
      <c r="BM64" s="16">
        <v>3.7234953660907455E-2</v>
      </c>
      <c r="BN64" s="16">
        <v>1.92598404373715E-2</v>
      </c>
      <c r="BO64" s="16">
        <v>3.1607176863346576E-2</v>
      </c>
      <c r="BP64" s="16">
        <v>7.1835260384618294E-2</v>
      </c>
      <c r="BQ64" s="16">
        <v>3.0251634720152354E-2</v>
      </c>
      <c r="BR64" s="16">
        <v>1.8437012780611495E-2</v>
      </c>
      <c r="BS64" s="16">
        <v>2.757499022892651E-2</v>
      </c>
      <c r="BT64" s="16">
        <v>4.8110939138375719E-2</v>
      </c>
      <c r="BU64" s="16">
        <v>4.4868819310359687E-3</v>
      </c>
      <c r="BV64" s="16">
        <v>8.3891733814727476E-2</v>
      </c>
      <c r="BW64" s="16">
        <v>2.853304229576592E-2</v>
      </c>
      <c r="BX64" s="16">
        <v>4.6204368025820286E-2</v>
      </c>
      <c r="BY64" s="16">
        <v>5.4129114584220983E-2</v>
      </c>
      <c r="BZ64" s="16">
        <v>1.857540029588356E-2</v>
      </c>
      <c r="CA64" s="16">
        <v>1.2975204119644035E-3</v>
      </c>
      <c r="CB64" s="16">
        <v>7.9072761781612932E-2</v>
      </c>
      <c r="CC64" s="16">
        <v>3.0478459891346565E-2</v>
      </c>
      <c r="CD64" s="16">
        <v>4.5568463819791849E-2</v>
      </c>
      <c r="CE64" s="16">
        <v>3.3964062206290668E-2</v>
      </c>
      <c r="CF64" s="16">
        <v>2.5152919745422109E-2</v>
      </c>
      <c r="CG64" s="16">
        <v>2.7128264582100603E-2</v>
      </c>
      <c r="CH64" s="16">
        <v>6.6154451171909212E-3</v>
      </c>
      <c r="CI64" s="16">
        <v>1.2641921988053695E-2</v>
      </c>
      <c r="CJ64" s="16">
        <v>5.2009182083299521E-2</v>
      </c>
      <c r="CK64" s="16">
        <v>1.0663579522482758E-2</v>
      </c>
      <c r="CL64" s="16">
        <v>2.1034429263918852E-2</v>
      </c>
      <c r="CM64" s="16">
        <v>1.0100443105322432E-2</v>
      </c>
      <c r="CN64" s="16">
        <v>3.7530572711022669E-2</v>
      </c>
      <c r="CO64" s="16">
        <v>5.1131830600084749E-2</v>
      </c>
      <c r="CP64" s="16">
        <v>1.1481457061927269E-2</v>
      </c>
      <c r="CQ64" s="16">
        <v>2.5960490037046591E-2</v>
      </c>
      <c r="CR64" s="16">
        <v>1.9565737335263567E-2</v>
      </c>
      <c r="CS64" s="16">
        <v>6.0042642178199657E-3</v>
      </c>
      <c r="CT64" s="16">
        <v>3.6830058515013975E-2</v>
      </c>
      <c r="CU64" s="16">
        <v>5.0066264577727226E-3</v>
      </c>
      <c r="CV64" s="16">
        <v>3.7076204334291152E-2</v>
      </c>
      <c r="CW64" s="16">
        <v>4.1589459982500188E-2</v>
      </c>
      <c r="CX64" s="16">
        <v>1.3056848898583273E-2</v>
      </c>
      <c r="CY64" s="16">
        <v>6.1504303446837105E-2</v>
      </c>
      <c r="CZ64" s="16">
        <v>6.8979488161551306E-3</v>
      </c>
      <c r="DA64" s="16">
        <v>3.2011710287316864E-2</v>
      </c>
      <c r="DB64" s="16">
        <v>4.1827453561717132E-2</v>
      </c>
      <c r="DC64" s="16">
        <v>1.8891886490092991E-2</v>
      </c>
      <c r="DD64" s="16">
        <v>2.4644137581153691E-2</v>
      </c>
      <c r="DE64" s="16">
        <v>3.0584148609612893E-2</v>
      </c>
      <c r="DF64" s="16">
        <v>2.1511835474299912E-2</v>
      </c>
      <c r="DG64" s="16">
        <v>4.8068259354043796E-2</v>
      </c>
      <c r="DH64" s="16">
        <v>4.7087128480972407E-2</v>
      </c>
      <c r="DI64" s="16">
        <v>2.0467445936271145E-2</v>
      </c>
      <c r="DJ64" s="16">
        <v>1.5068241929029114E-2</v>
      </c>
      <c r="DK64" s="16">
        <v>1.8789445908497515E-2</v>
      </c>
      <c r="DL64" s="16">
        <v>1.1099193398346197E-2</v>
      </c>
      <c r="DM64" s="16">
        <v>1.3263702419886947E-2</v>
      </c>
      <c r="DN64" s="16">
        <v>5.5446232058179445E-3</v>
      </c>
    </row>
    <row r="65" spans="4:118" x14ac:dyDescent="0.2">
      <c r="D65" s="13">
        <v>57</v>
      </c>
      <c r="E65" s="14">
        <f>1-IFERROR(_xlfn.LOGNORM.DIST(D65,Parameter!$G$6,Parameter!$G$7,TRUE),0)</f>
        <v>2.7617991148521259E-2</v>
      </c>
      <c r="F65" s="15">
        <f t="shared" si="0"/>
        <v>6.6692845663909053E-2</v>
      </c>
      <c r="G65" s="15">
        <f t="shared" si="1"/>
        <v>5.0957380874495362E-3</v>
      </c>
      <c r="R65" s="14">
        <f ca="1">1-IFERROR(_xlfn.LOGNORM.DIST($D65,Parameter!$E$6,Parameter!$E$7,TRUE),0)</f>
        <v>2.6303388796959815E-2</v>
      </c>
      <c r="S65" s="16">
        <v>1.0292628365018652E-2</v>
      </c>
      <c r="T65" s="16">
        <v>1.0196112937176038E-2</v>
      </c>
      <c r="U65" s="16">
        <v>3.2386427221813618E-2</v>
      </c>
      <c r="V65" s="16">
        <v>5.9968595942934577E-2</v>
      </c>
      <c r="W65" s="16">
        <v>1.8827805162421107E-2</v>
      </c>
      <c r="X65" s="16">
        <v>1.4718894564211382E-2</v>
      </c>
      <c r="Y65" s="16">
        <v>7.9067220349391398E-3</v>
      </c>
      <c r="Z65" s="16">
        <v>2.368935496047031E-2</v>
      </c>
      <c r="AA65" s="16">
        <v>4.5059264916091801E-2</v>
      </c>
      <c r="AB65" s="16">
        <v>3.8356609364082916E-2</v>
      </c>
      <c r="AC65" s="16">
        <v>2.3491385323282654E-2</v>
      </c>
      <c r="AD65" s="16">
        <v>2.3670788665621667E-2</v>
      </c>
      <c r="AE65" s="16">
        <v>2.6206256228681557E-2</v>
      </c>
      <c r="AF65" s="16">
        <v>3.5654579423280763E-2</v>
      </c>
      <c r="AG65" s="16">
        <v>2.2142690853428904E-2</v>
      </c>
      <c r="AH65" s="16">
        <v>3.6336461355846117E-2</v>
      </c>
      <c r="AI65" s="16">
        <v>1.0366927265358483E-2</v>
      </c>
      <c r="AJ65" s="16">
        <v>9.8946646540444272E-3</v>
      </c>
      <c r="AK65" s="16">
        <v>4.2860858669209412E-2</v>
      </c>
      <c r="AL65" s="16">
        <v>2.2717482924281995E-2</v>
      </c>
      <c r="AM65" s="16">
        <v>5.3184185207948431E-3</v>
      </c>
      <c r="AN65" s="16">
        <v>6.1718268787574915E-2</v>
      </c>
      <c r="AO65" s="16">
        <v>1.4619665133920656E-2</v>
      </c>
      <c r="AP65" s="16">
        <v>3.3527994284956342E-2</v>
      </c>
      <c r="AQ65" s="16">
        <v>2.7210369073212504E-2</v>
      </c>
      <c r="AR65" s="16">
        <v>1.9489651595836044E-2</v>
      </c>
      <c r="AS65" s="16">
        <v>2.6689765523215447E-2</v>
      </c>
      <c r="AT65" s="16">
        <v>4.3083839680364444E-2</v>
      </c>
      <c r="AU65" s="16">
        <v>6.0320438955016931E-2</v>
      </c>
      <c r="AV65" s="16">
        <v>2.9982497109314221E-2</v>
      </c>
      <c r="AW65" s="16">
        <v>3.7034930433253455E-2</v>
      </c>
      <c r="AX65" s="16">
        <v>9.2659864789540469E-3</v>
      </c>
      <c r="AY65" s="16">
        <v>2.3047226246607044E-2</v>
      </c>
      <c r="AZ65" s="16">
        <v>2.4038956190779892E-2</v>
      </c>
      <c r="BA65" s="16">
        <v>3.7405714543134128E-2</v>
      </c>
      <c r="BB65" s="16">
        <v>1.7801646822932948E-2</v>
      </c>
      <c r="BC65" s="16">
        <v>3.7001354270189024E-2</v>
      </c>
      <c r="BD65" s="16">
        <v>2.0108531030190946E-2</v>
      </c>
      <c r="BE65" s="16">
        <v>3.6131050053241465E-2</v>
      </c>
      <c r="BF65" s="16">
        <v>6.9251479714018682E-3</v>
      </c>
      <c r="BG65" s="16">
        <v>3.7634235868253429E-2</v>
      </c>
      <c r="BH65" s="16">
        <v>3.5391995029485313E-2</v>
      </c>
      <c r="BI65" s="16">
        <v>3.0489454492856116E-2</v>
      </c>
      <c r="BJ65" s="16">
        <v>3.729955880375968E-2</v>
      </c>
      <c r="BK65" s="16">
        <v>2.7422385537526517E-2</v>
      </c>
      <c r="BL65" s="16">
        <v>4.1741047199757908E-2</v>
      </c>
      <c r="BM65" s="16">
        <v>3.676875341426511E-2</v>
      </c>
      <c r="BN65" s="16">
        <v>1.8938986599835284E-2</v>
      </c>
      <c r="BO65" s="16">
        <v>3.1200455535456362E-2</v>
      </c>
      <c r="BP65" s="16">
        <v>7.1193653313925798E-2</v>
      </c>
      <c r="BQ65" s="16">
        <v>2.9878974414182968E-2</v>
      </c>
      <c r="BR65" s="16">
        <v>1.8135091113927304E-2</v>
      </c>
      <c r="BS65" s="16">
        <v>2.7232260364267735E-2</v>
      </c>
      <c r="BT65" s="16">
        <v>4.748743442315817E-2</v>
      </c>
      <c r="BU65" s="16">
        <v>4.3811592129251453E-3</v>
      </c>
      <c r="BV65" s="16">
        <v>8.3161726972083128E-2</v>
      </c>
      <c r="BW65" s="16">
        <v>2.8133637866087358E-2</v>
      </c>
      <c r="BX65" s="16">
        <v>4.5603142147194187E-2</v>
      </c>
      <c r="BY65" s="16">
        <v>5.3569423641811054E-2</v>
      </c>
      <c r="BZ65" s="16">
        <v>1.8250615568475292E-2</v>
      </c>
      <c r="CA65" s="16">
        <v>1.2585729010328173E-3</v>
      </c>
      <c r="CB65" s="16">
        <v>7.8265123806110837E-2</v>
      </c>
      <c r="CC65" s="16">
        <v>3.0028752043684603E-2</v>
      </c>
      <c r="CD65" s="16">
        <v>4.5040327868783758E-2</v>
      </c>
      <c r="CE65" s="16">
        <v>3.3541320240626171E-2</v>
      </c>
      <c r="CF65" s="16">
        <v>2.4801497855559074E-2</v>
      </c>
      <c r="CG65" s="16">
        <v>2.6730780511872276E-2</v>
      </c>
      <c r="CH65" s="16">
        <v>6.4774532523941275E-3</v>
      </c>
      <c r="CI65" s="16">
        <v>1.2452197619893912E-2</v>
      </c>
      <c r="CJ65" s="16">
        <v>5.1436557199011079E-2</v>
      </c>
      <c r="CK65" s="16">
        <v>1.0462707095569845E-2</v>
      </c>
      <c r="CL65" s="16">
        <v>2.0697410657978699E-2</v>
      </c>
      <c r="CM65" s="16">
        <v>9.9221055805674974E-3</v>
      </c>
      <c r="CN65" s="16">
        <v>3.7087656486625264E-2</v>
      </c>
      <c r="CO65" s="16">
        <v>5.0549659319692797E-2</v>
      </c>
      <c r="CP65" s="16">
        <v>1.126709304840523E-2</v>
      </c>
      <c r="CQ65" s="16">
        <v>2.5594906551398178E-2</v>
      </c>
      <c r="CR65" s="16">
        <v>1.9269580466731218E-2</v>
      </c>
      <c r="CS65" s="16">
        <v>5.88046435818812E-3</v>
      </c>
      <c r="CT65" s="16">
        <v>3.6252315905773269E-2</v>
      </c>
      <c r="CU65" s="16">
        <v>4.8942653144228299E-3</v>
      </c>
      <c r="CV65" s="16">
        <v>3.6632094840069129E-2</v>
      </c>
      <c r="CW65" s="16">
        <v>4.1093789093214261E-2</v>
      </c>
      <c r="CX65" s="16">
        <v>1.2854730177985996E-2</v>
      </c>
      <c r="CY65" s="16">
        <v>6.0837908241493266E-2</v>
      </c>
      <c r="CZ65" s="16">
        <v>6.7441561020347152E-3</v>
      </c>
      <c r="DA65" s="16">
        <v>3.1639854235429143E-2</v>
      </c>
      <c r="DB65" s="16">
        <v>4.1215824265920409E-2</v>
      </c>
      <c r="DC65" s="16">
        <v>1.8557861733863978E-2</v>
      </c>
      <c r="DD65" s="16">
        <v>2.422269943030031E-2</v>
      </c>
      <c r="DE65" s="16">
        <v>3.0162292932638168E-2</v>
      </c>
      <c r="DF65" s="16">
        <v>2.1210612100195481E-2</v>
      </c>
      <c r="DG65" s="16">
        <v>4.7552536151110547E-2</v>
      </c>
      <c r="DH65" s="16">
        <v>4.6537634864998734E-2</v>
      </c>
      <c r="DI65" s="16">
        <v>2.0154704777762156E-2</v>
      </c>
      <c r="DJ65" s="16">
        <v>1.4806322877577549E-2</v>
      </c>
      <c r="DK65" s="16">
        <v>1.8513515096167277E-2</v>
      </c>
      <c r="DL65" s="16">
        <v>1.0915985284729368E-2</v>
      </c>
      <c r="DM65" s="16">
        <v>1.3032759782353187E-2</v>
      </c>
      <c r="DN65" s="16">
        <v>5.4231387784527962E-3</v>
      </c>
    </row>
    <row r="66" spans="4:118" x14ac:dyDescent="0.2">
      <c r="D66" s="13">
        <v>58</v>
      </c>
      <c r="E66" s="14">
        <f>1-IFERROR(_xlfn.LOGNORM.DIST(D66,Parameter!$G$6,Parameter!$G$7,TRUE),0)</f>
        <v>2.724060792484162E-2</v>
      </c>
      <c r="F66" s="15">
        <f t="shared" si="0"/>
        <v>6.6062894190416263E-2</v>
      </c>
      <c r="G66" s="15">
        <f t="shared" si="1"/>
        <v>4.9813842713254727E-3</v>
      </c>
      <c r="R66" s="14">
        <f ca="1">1-IFERROR(_xlfn.LOGNORM.DIST($D66,Parameter!$E$6,Parameter!$E$7,TRUE),0)</f>
        <v>2.5920594416829146E-2</v>
      </c>
      <c r="S66" s="16">
        <v>1.0123574333110508E-2</v>
      </c>
      <c r="T66" s="16">
        <v>1.0014527507108406E-2</v>
      </c>
      <c r="U66" s="16">
        <v>3.1916697671802496E-2</v>
      </c>
      <c r="V66" s="16">
        <v>5.933847410069204E-2</v>
      </c>
      <c r="W66" s="16">
        <v>1.8558760573327171E-2</v>
      </c>
      <c r="X66" s="16">
        <v>1.4456651905666362E-2</v>
      </c>
      <c r="Y66" s="16">
        <v>7.756558283618431E-3</v>
      </c>
      <c r="Z66" s="16">
        <v>2.3385023337610833E-2</v>
      </c>
      <c r="AA66" s="16">
        <v>4.4549550311310138E-2</v>
      </c>
      <c r="AB66" s="16">
        <v>3.7826641947983797E-2</v>
      </c>
      <c r="AC66" s="16">
        <v>2.3152291018825322E-2</v>
      </c>
      <c r="AD66" s="16">
        <v>2.333292126876374E-2</v>
      </c>
      <c r="AE66" s="16">
        <v>2.5844741649937775E-2</v>
      </c>
      <c r="AF66" s="16">
        <v>3.5197284075105473E-2</v>
      </c>
      <c r="AG66" s="16">
        <v>2.1741219517783295E-2</v>
      </c>
      <c r="AH66" s="16">
        <v>3.5919314009236536E-2</v>
      </c>
      <c r="AI66" s="16">
        <v>1.0188120062944672E-2</v>
      </c>
      <c r="AJ66" s="16">
        <v>9.7099404982023962E-3</v>
      </c>
      <c r="AK66" s="16">
        <v>4.2412561012272199E-2</v>
      </c>
      <c r="AL66" s="16">
        <v>2.2405058313110682E-2</v>
      </c>
      <c r="AM66" s="16">
        <v>5.1972768482239085E-3</v>
      </c>
      <c r="AN66" s="16">
        <v>6.1084119360957811E-2</v>
      </c>
      <c r="AO66" s="16">
        <v>1.4383470467895121E-2</v>
      </c>
      <c r="AP66" s="16">
        <v>3.3144060002966214E-2</v>
      </c>
      <c r="AQ66" s="16">
        <v>2.6879272933057363E-2</v>
      </c>
      <c r="AR66" s="16">
        <v>1.9165715093877878E-2</v>
      </c>
      <c r="AS66" s="16">
        <v>2.6322506956554803E-2</v>
      </c>
      <c r="AT66" s="16">
        <v>4.2589602780120583E-2</v>
      </c>
      <c r="AU66" s="16">
        <v>5.9693942100824682E-2</v>
      </c>
      <c r="AV66" s="16">
        <v>2.9550495255126097E-2</v>
      </c>
      <c r="AW66" s="16">
        <v>3.6629805686833272E-2</v>
      </c>
      <c r="AX66" s="16">
        <v>9.0914789106778526E-3</v>
      </c>
      <c r="AY66" s="16">
        <v>2.2671118699136517E-2</v>
      </c>
      <c r="AZ66" s="16">
        <v>2.3708566641076789E-2</v>
      </c>
      <c r="BA66" s="16">
        <v>3.6865912303056136E-2</v>
      </c>
      <c r="BB66" s="16">
        <v>1.7514658292100638E-2</v>
      </c>
      <c r="BC66" s="16">
        <v>3.6484844302903108E-2</v>
      </c>
      <c r="BD66" s="16">
        <v>1.9845740266471679E-2</v>
      </c>
      <c r="BE66" s="16">
        <v>3.5676855726353596E-2</v>
      </c>
      <c r="BF66" s="16">
        <v>6.7792539995474854E-3</v>
      </c>
      <c r="BG66" s="16">
        <v>3.7108806890476798E-2</v>
      </c>
      <c r="BH66" s="16">
        <v>3.4967811992644648E-2</v>
      </c>
      <c r="BI66" s="16">
        <v>3.0115198745577887E-2</v>
      </c>
      <c r="BJ66" s="16">
        <v>3.6840667362920687E-2</v>
      </c>
      <c r="BK66" s="16">
        <v>2.7076130946377175E-2</v>
      </c>
      <c r="BL66" s="16">
        <v>4.1191620015592512E-2</v>
      </c>
      <c r="BM66" s="16">
        <v>3.6315322047385856E-2</v>
      </c>
      <c r="BN66" s="16">
        <v>1.8628153106707068E-2</v>
      </c>
      <c r="BO66" s="16">
        <v>3.0805034366108708E-2</v>
      </c>
      <c r="BP66" s="16">
        <v>7.0567499988497873E-2</v>
      </c>
      <c r="BQ66" s="16">
        <v>2.9516512504988657E-2</v>
      </c>
      <c r="BR66" s="16">
        <v>1.7842535611870103E-2</v>
      </c>
      <c r="BS66" s="16">
        <v>2.6898960054440813E-2</v>
      </c>
      <c r="BT66" s="16">
        <v>4.688109607984936E-2</v>
      </c>
      <c r="BU66" s="16">
        <v>4.2794491279676272E-3</v>
      </c>
      <c r="BV66" s="16">
        <v>8.244907947721658E-2</v>
      </c>
      <c r="BW66" s="16">
        <v>2.7745724927287219E-2</v>
      </c>
      <c r="BX66" s="16">
        <v>4.5018515470366505E-2</v>
      </c>
      <c r="BY66" s="16">
        <v>5.3023942551583714E-2</v>
      </c>
      <c r="BZ66" s="16">
        <v>1.7936205409747719E-2</v>
      </c>
      <c r="CA66" s="16">
        <v>1.2213472711682938E-3</v>
      </c>
      <c r="CB66" s="16">
        <v>7.7477641337795777E-2</v>
      </c>
      <c r="CC66" s="16">
        <v>2.959223880913453E-2</v>
      </c>
      <c r="CD66" s="16">
        <v>4.4526187051156185E-2</v>
      </c>
      <c r="CE66" s="16">
        <v>3.3130159083782473E-2</v>
      </c>
      <c r="CF66" s="16">
        <v>2.4460208597967603E-2</v>
      </c>
      <c r="CG66" s="16">
        <v>2.6344958949916286E-2</v>
      </c>
      <c r="CH66" s="16">
        <v>6.344347845212206E-3</v>
      </c>
      <c r="CI66" s="16">
        <v>1.2268179710243632E-2</v>
      </c>
      <c r="CJ66" s="16">
        <v>5.0878786868080894E-2</v>
      </c>
      <c r="CK66" s="16">
        <v>1.0268548438826852E-2</v>
      </c>
      <c r="CL66" s="16">
        <v>2.0370719186048603E-2</v>
      </c>
      <c r="CM66" s="16">
        <v>9.7495538320326869E-3</v>
      </c>
      <c r="CN66" s="16">
        <v>3.6656613949074268E-2</v>
      </c>
      <c r="CO66" s="16">
        <v>4.9982768746650974E-2</v>
      </c>
      <c r="CP66" s="16">
        <v>1.1059854416917259E-2</v>
      </c>
      <c r="CQ66" s="16">
        <v>2.5239889837530338E-2</v>
      </c>
      <c r="CR66" s="16">
        <v>1.898229412130481E-2</v>
      </c>
      <c r="CS66" s="16">
        <v>5.7610283505136195E-3</v>
      </c>
      <c r="CT66" s="16">
        <v>3.5691869462774806E-2</v>
      </c>
      <c r="CU66" s="16">
        <v>4.7860528922268886E-3</v>
      </c>
      <c r="CV66" s="16">
        <v>3.6199957623051171E-2</v>
      </c>
      <c r="CW66" s="16">
        <v>4.0611415935252637E-2</v>
      </c>
      <c r="CX66" s="16">
        <v>1.2658768389792185E-2</v>
      </c>
      <c r="CY66" s="16">
        <v>6.0188615756676445E-2</v>
      </c>
      <c r="CZ66" s="16">
        <v>6.595997417601307E-3</v>
      </c>
      <c r="DA66" s="16">
        <v>3.1277949832181573E-2</v>
      </c>
      <c r="DB66" s="16">
        <v>4.0621915233832406E-2</v>
      </c>
      <c r="DC66" s="16">
        <v>1.8234557573414745E-2</v>
      </c>
      <c r="DD66" s="16">
        <v>2.3814503501400242E-2</v>
      </c>
      <c r="DE66" s="16">
        <v>2.9752484049662797E-2</v>
      </c>
      <c r="DF66" s="16">
        <v>2.0918110503787224E-2</v>
      </c>
      <c r="DG66" s="16">
        <v>4.70501092648693E-2</v>
      </c>
      <c r="DH66" s="16">
        <v>4.6002722839060706E-2</v>
      </c>
      <c r="DI66" s="16">
        <v>1.9851359572095495E-2</v>
      </c>
      <c r="DJ66" s="16">
        <v>1.4552782606957138E-2</v>
      </c>
      <c r="DK66" s="16">
        <v>1.8245751843472435E-2</v>
      </c>
      <c r="DL66" s="16">
        <v>1.0738532549116497E-2</v>
      </c>
      <c r="DM66" s="16">
        <v>1.2809227898466169E-2</v>
      </c>
      <c r="DN66" s="16">
        <v>5.3060776496378637E-3</v>
      </c>
    </row>
    <row r="67" spans="4:118" x14ac:dyDescent="0.2">
      <c r="D67" s="13">
        <v>59</v>
      </c>
      <c r="E67" s="14">
        <f>1-IFERROR(_xlfn.LOGNORM.DIST(D67,Parameter!$G$6,Parameter!$G$7,TRUE),0)</f>
        <v>2.687387780893169E-2</v>
      </c>
      <c r="F67" s="15">
        <f t="shared" si="0"/>
        <v>6.5448244485637269E-2</v>
      </c>
      <c r="G67" s="15">
        <f t="shared" si="1"/>
        <v>4.8712190237019948E-3</v>
      </c>
      <c r="R67" s="14">
        <f ca="1">1-IFERROR(_xlfn.LOGNORM.DIST($D67,Parameter!$E$6,Parameter!$E$7,TRUE),0)</f>
        <v>2.5548896888766937E-2</v>
      </c>
      <c r="S67" s="16">
        <v>9.9597762255422273E-3</v>
      </c>
      <c r="T67" s="16">
        <v>9.8388033379293027E-3</v>
      </c>
      <c r="U67" s="16">
        <v>3.1460495692460122E-2</v>
      </c>
      <c r="V67" s="16">
        <v>5.8724194527740692E-2</v>
      </c>
      <c r="W67" s="16">
        <v>1.8297512108280456E-2</v>
      </c>
      <c r="X67" s="16">
        <v>1.4202821964209411E-2</v>
      </c>
      <c r="Y67" s="16">
        <v>7.611413066285877E-3</v>
      </c>
      <c r="Z67" s="16">
        <v>2.3089106991176167E-2</v>
      </c>
      <c r="AA67" s="16">
        <v>4.4053085816288751E-2</v>
      </c>
      <c r="AB67" s="16">
        <v>3.7311572861139175E-2</v>
      </c>
      <c r="AC67" s="16">
        <v>2.2823018947335072E-2</v>
      </c>
      <c r="AD67" s="16">
        <v>2.3004794012929541E-2</v>
      </c>
      <c r="AE67" s="16">
        <v>2.5493483222297497E-2</v>
      </c>
      <c r="AF67" s="16">
        <v>3.4752506186199295E-2</v>
      </c>
      <c r="AG67" s="16">
        <v>2.1352620914788178E-2</v>
      </c>
      <c r="AH67" s="16">
        <v>3.5513128890679813E-2</v>
      </c>
      <c r="AI67" s="16">
        <v>1.0014997137396286E-2</v>
      </c>
      <c r="AJ67" s="16">
        <v>9.5313176868631055E-3</v>
      </c>
      <c r="AK67" s="16">
        <v>4.1975630432124711E-2</v>
      </c>
      <c r="AL67" s="16">
        <v>2.2101513867010869E-2</v>
      </c>
      <c r="AM67" s="16">
        <v>5.0806050665554991E-3</v>
      </c>
      <c r="AN67" s="16">
        <v>6.0465784849793813E-2</v>
      </c>
      <c r="AO67" s="16">
        <v>1.4154522874405995E-2</v>
      </c>
      <c r="AP67" s="16">
        <v>3.2770225897641558E-2</v>
      </c>
      <c r="AQ67" s="16">
        <v>2.6557121316123311E-2</v>
      </c>
      <c r="AR67" s="16">
        <v>1.8851788064081831E-2</v>
      </c>
      <c r="AS67" s="16">
        <v>2.5965652711404497E-2</v>
      </c>
      <c r="AT67" s="16">
        <v>4.210829228570212E-2</v>
      </c>
      <c r="AU67" s="16">
        <v>5.9083134869456044E-2</v>
      </c>
      <c r="AV67" s="16">
        <v>2.9130925903949834E-2</v>
      </c>
      <c r="AW67" s="16">
        <v>3.6235146500476545E-2</v>
      </c>
      <c r="AX67" s="16">
        <v>8.922765758018647E-3</v>
      </c>
      <c r="AY67" s="16">
        <v>2.2306495465697962E-2</v>
      </c>
      <c r="AZ67" s="16">
        <v>2.3387554268482269E-2</v>
      </c>
      <c r="BA67" s="16">
        <v>3.6341561629614105E-2</v>
      </c>
      <c r="BB67" s="16">
        <v>1.723643429615751E-2</v>
      </c>
      <c r="BC67" s="16">
        <v>3.5982928298804673E-2</v>
      </c>
      <c r="BD67" s="16">
        <v>1.9590287910501103E-2</v>
      </c>
      <c r="BE67" s="16">
        <v>3.5234996592464651E-2</v>
      </c>
      <c r="BF67" s="16">
        <v>6.6385070938267399E-3</v>
      </c>
      <c r="BG67" s="16">
        <v>3.6598217630477103E-2</v>
      </c>
      <c r="BH67" s="16">
        <v>3.4554955598062431E-2</v>
      </c>
      <c r="BI67" s="16">
        <v>2.975106032391861E-2</v>
      </c>
      <c r="BJ67" s="16">
        <v>3.6394129648713913E-2</v>
      </c>
      <c r="BK67" s="16">
        <v>2.6739358614213726E-2</v>
      </c>
      <c r="BL67" s="16">
        <v>4.0657313615835466E-2</v>
      </c>
      <c r="BM67" s="16">
        <v>3.5874112617571452E-2</v>
      </c>
      <c r="BN67" s="16">
        <v>1.8326875916167551E-2</v>
      </c>
      <c r="BO67" s="16">
        <v>3.0420424755826292E-2</v>
      </c>
      <c r="BP67" s="16">
        <v>6.9956184156162449E-2</v>
      </c>
      <c r="BQ67" s="16">
        <v>2.916381126144052E-2</v>
      </c>
      <c r="BR67" s="16">
        <v>1.7558913922775643E-2</v>
      </c>
      <c r="BS67" s="16">
        <v>2.6574683045783698E-2</v>
      </c>
      <c r="BT67" s="16">
        <v>4.6291189723817183E-2</v>
      </c>
      <c r="BU67" s="16">
        <v>4.1815402763353271E-3</v>
      </c>
      <c r="BV67" s="16">
        <v>8.1753104797778087E-2</v>
      </c>
      <c r="BW67" s="16">
        <v>2.7368796810641749E-2</v>
      </c>
      <c r="BX67" s="16">
        <v>4.4449776400412033E-2</v>
      </c>
      <c r="BY67" s="16">
        <v>5.2492088059939768E-2</v>
      </c>
      <c r="BZ67" s="16">
        <v>1.7631683084160632E-2</v>
      </c>
      <c r="CA67" s="16">
        <v>1.1857425525593213E-3</v>
      </c>
      <c r="CB67" s="16">
        <v>7.6709498935853881E-2</v>
      </c>
      <c r="CC67" s="16">
        <v>2.9168332895062932E-2</v>
      </c>
      <c r="CD67" s="16">
        <v>4.4025453377336099E-2</v>
      </c>
      <c r="CE67" s="16">
        <v>3.2730082061521726E-2</v>
      </c>
      <c r="CF67" s="16">
        <v>2.4128604047378044E-2</v>
      </c>
      <c r="CG67" s="16">
        <v>2.5970279991302636E-2</v>
      </c>
      <c r="CH67" s="16">
        <v>6.2158829536387294E-3</v>
      </c>
      <c r="CI67" s="16">
        <v>1.2089608442046651E-2</v>
      </c>
      <c r="CJ67" s="16">
        <v>5.0335254643360638E-2</v>
      </c>
      <c r="CK67" s="16">
        <v>1.0080778392015155E-2</v>
      </c>
      <c r="CL67" s="16">
        <v>2.0053882074465346E-2</v>
      </c>
      <c r="CM67" s="16">
        <v>9.5825123195810713E-3</v>
      </c>
      <c r="CN67" s="16">
        <v>3.623694206375494E-2</v>
      </c>
      <c r="CO67" s="16">
        <v>4.9430520952263746E-2</v>
      </c>
      <c r="CP67" s="16">
        <v>1.0859397416651539E-2</v>
      </c>
      <c r="CQ67" s="16">
        <v>2.4894972337297316E-2</v>
      </c>
      <c r="CR67" s="16">
        <v>1.8703476930574836E-2</v>
      </c>
      <c r="CS67" s="16">
        <v>5.6457369979635574E-3</v>
      </c>
      <c r="CT67" s="16">
        <v>3.5147943478702426E-2</v>
      </c>
      <c r="CU67" s="16">
        <v>4.6817745087393003E-3</v>
      </c>
      <c r="CV67" s="16">
        <v>3.5779283958669916E-2</v>
      </c>
      <c r="CW67" s="16">
        <v>4.0141777672119572E-2</v>
      </c>
      <c r="CX67" s="16">
        <v>1.2468681274035776E-2</v>
      </c>
      <c r="CY67" s="16">
        <v>5.955572175834678E-2</v>
      </c>
      <c r="CZ67" s="16">
        <v>6.4531833904823976E-3</v>
      </c>
      <c r="DA67" s="16">
        <v>3.0925575087899504E-2</v>
      </c>
      <c r="DB67" s="16">
        <v>4.0044946807574644E-2</v>
      </c>
      <c r="DC67" s="16">
        <v>1.7921469801552514E-2</v>
      </c>
      <c r="DD67" s="16">
        <v>2.3418936441586435E-2</v>
      </c>
      <c r="DE67" s="16">
        <v>2.9354193357886582E-2</v>
      </c>
      <c r="DF67" s="16">
        <v>2.0633943620835704E-2</v>
      </c>
      <c r="DG67" s="16">
        <v>4.6560427964675521E-2</v>
      </c>
      <c r="DH67" s="16">
        <v>4.5481779635646036E-2</v>
      </c>
      <c r="DI67" s="16">
        <v>1.9556984667919886E-2</v>
      </c>
      <c r="DJ67" s="16">
        <v>1.4307226764880276E-2</v>
      </c>
      <c r="DK67" s="16">
        <v>1.7985788824679938E-2</v>
      </c>
      <c r="DL67" s="16">
        <v>1.0566566340279637E-2</v>
      </c>
      <c r="DM67" s="16">
        <v>1.2592756914573733E-2</v>
      </c>
      <c r="DN67" s="16">
        <v>5.1932130677174726E-3</v>
      </c>
    </row>
    <row r="68" spans="4:118" x14ac:dyDescent="0.2">
      <c r="D68" s="13">
        <v>60</v>
      </c>
      <c r="E68" s="14">
        <f>1-IFERROR(_xlfn.LOGNORM.DIST(D68,Parameter!$G$6,Parameter!$G$7,TRUE),0)</f>
        <v>2.6517339237645765E-2</v>
      </c>
      <c r="F68" s="15">
        <f t="shared" si="0"/>
        <v>6.4848288491870382E-2</v>
      </c>
      <c r="G68" s="15">
        <f t="shared" si="1"/>
        <v>4.7650280447834124E-3</v>
      </c>
      <c r="R68" s="14">
        <f ca="1">1-IFERROR(_xlfn.LOGNORM.DIST($D68,Parameter!$E$6,Parameter!$E$7,TRUE),0)</f>
        <v>2.5187808291789016E-2</v>
      </c>
      <c r="S68" s="16">
        <v>9.8009915440250284E-3</v>
      </c>
      <c r="T68" s="16">
        <v>9.668664057349341E-3</v>
      </c>
      <c r="U68" s="16">
        <v>3.1017230226195069E-2</v>
      </c>
      <c r="V68" s="16">
        <v>5.8125116590199921E-2</v>
      </c>
      <c r="W68" s="16">
        <v>1.8043715796011051E-2</v>
      </c>
      <c r="X68" s="16">
        <v>1.3957010871684994E-2</v>
      </c>
      <c r="Y68" s="16">
        <v>7.4710443488346101E-3</v>
      </c>
      <c r="Z68" s="16">
        <v>2.2801244692403855E-2</v>
      </c>
      <c r="AA68" s="16">
        <v>4.3569324534595277E-2</v>
      </c>
      <c r="AB68" s="16">
        <v>3.6810760905990225E-2</v>
      </c>
      <c r="AC68" s="16">
        <v>2.2503136833365689E-2</v>
      </c>
      <c r="AD68" s="16">
        <v>2.2685979371341203E-2</v>
      </c>
      <c r="AE68" s="16">
        <v>2.5152035130350914E-2</v>
      </c>
      <c r="AF68" s="16">
        <v>3.431971377276466E-2</v>
      </c>
      <c r="AG68" s="16">
        <v>2.0976295629878017E-2</v>
      </c>
      <c r="AH68" s="16">
        <v>3.5117449823447999E-2</v>
      </c>
      <c r="AI68" s="16">
        <v>9.8472928573352103E-3</v>
      </c>
      <c r="AJ68" s="16">
        <v>9.3585045598340022E-3</v>
      </c>
      <c r="AK68" s="16">
        <v>4.1549603218431042E-2</v>
      </c>
      <c r="AL68" s="16">
        <v>2.1806462587243169E-2</v>
      </c>
      <c r="AM68" s="16">
        <v>4.9681735211754008E-3</v>
      </c>
      <c r="AN68" s="16">
        <v>5.9862628471140544E-2</v>
      </c>
      <c r="AO68" s="16">
        <v>1.3932491496379096E-2</v>
      </c>
      <c r="AP68" s="16">
        <v>3.24060710572176E-2</v>
      </c>
      <c r="AQ68" s="16">
        <v>2.6243535487490255E-2</v>
      </c>
      <c r="AR68" s="16">
        <v>1.8547413139365698E-2</v>
      </c>
      <c r="AS68" s="16">
        <v>2.5618750969036763E-2</v>
      </c>
      <c r="AT68" s="16">
        <v>4.1639372713588974E-2</v>
      </c>
      <c r="AU68" s="16">
        <v>5.8487384036063128E-2</v>
      </c>
      <c r="AV68" s="16">
        <v>2.8723245448133428E-2</v>
      </c>
      <c r="AW68" s="16">
        <v>3.5850521221381659E-2</v>
      </c>
      <c r="AX68" s="16">
        <v>8.7595690096089474E-3</v>
      </c>
      <c r="AY68" s="16">
        <v>2.1952836313024804E-2</v>
      </c>
      <c r="AZ68" s="16">
        <v>2.3075510976818481E-2</v>
      </c>
      <c r="BA68" s="16">
        <v>3.5831991032375776E-2</v>
      </c>
      <c r="BB68" s="16">
        <v>1.69665765430983E-2</v>
      </c>
      <c r="BC68" s="16">
        <v>3.5494976162248948E-2</v>
      </c>
      <c r="BD68" s="16">
        <v>1.9341856812393532E-2</v>
      </c>
      <c r="BE68" s="16">
        <v>3.4804950615136998E-2</v>
      </c>
      <c r="BF68" s="16">
        <v>6.5026505466082574E-3</v>
      </c>
      <c r="BG68" s="16">
        <v>3.6101827691402022E-2</v>
      </c>
      <c r="BH68" s="16">
        <v>3.4152950502956858E-2</v>
      </c>
      <c r="BI68" s="16">
        <v>2.9396611195327216E-2</v>
      </c>
      <c r="BJ68" s="16">
        <v>3.5959425398609857E-2</v>
      </c>
      <c r="BK68" s="16">
        <v>2.6411664191870909E-2</v>
      </c>
      <c r="BL68" s="16">
        <v>4.0137485090723457E-2</v>
      </c>
      <c r="BM68" s="16">
        <v>3.544460998935639E-2</v>
      </c>
      <c r="BN68" s="16">
        <v>1.8034719442577507E-2</v>
      </c>
      <c r="BO68" s="16">
        <v>3.0046166717019318E-2</v>
      </c>
      <c r="BP68" s="16">
        <v>6.935912374872133E-2</v>
      </c>
      <c r="BQ68" s="16">
        <v>2.8820458478289845E-2</v>
      </c>
      <c r="BR68" s="16">
        <v>1.7283820162727448E-2</v>
      </c>
      <c r="BS68" s="16">
        <v>2.625904684347502E-2</v>
      </c>
      <c r="BT68" s="16">
        <v>4.5717023541692603E-2</v>
      </c>
      <c r="BU68" s="16">
        <v>4.0872354954818446E-3</v>
      </c>
      <c r="BV68" s="16">
        <v>8.1073154252228496E-2</v>
      </c>
      <c r="BW68" s="16">
        <v>2.7002376895860825E-2</v>
      </c>
      <c r="BX68" s="16">
        <v>4.3896254660525047E-2</v>
      </c>
      <c r="BY68" s="16">
        <v>5.1973309887476393E-2</v>
      </c>
      <c r="BZ68" s="16">
        <v>1.733659195724857E-2</v>
      </c>
      <c r="CA68" s="16">
        <v>1.1516651461420668E-3</v>
      </c>
      <c r="CB68" s="16">
        <v>7.595992670679852E-2</v>
      </c>
      <c r="CC68" s="16">
        <v>2.8756482020074081E-2</v>
      </c>
      <c r="CD68" s="16">
        <v>4.353757260508162E-2</v>
      </c>
      <c r="CE68" s="16">
        <v>3.2340621425767768E-2</v>
      </c>
      <c r="CF68" s="16">
        <v>2.3806262910479048E-2</v>
      </c>
      <c r="CG68" s="16">
        <v>2.5606254785348948E-2</v>
      </c>
      <c r="CH68" s="16">
        <v>6.0918286635996965E-3</v>
      </c>
      <c r="CI68" s="16">
        <v>1.1916239798932859E-2</v>
      </c>
      <c r="CJ68" s="16">
        <v>4.9805379163558317E-2</v>
      </c>
      <c r="CK68" s="16">
        <v>9.8990923975679213E-3</v>
      </c>
      <c r="CL68" s="16">
        <v>1.974645531371888E-2</v>
      </c>
      <c r="CM68" s="16">
        <v>9.4207227763293266E-3</v>
      </c>
      <c r="CN68" s="16">
        <v>3.5828166855594423E-2</v>
      </c>
      <c r="CO68" s="16">
        <v>4.8892314447813945E-2</v>
      </c>
      <c r="CP68" s="16">
        <v>1.0665400012150883E-2</v>
      </c>
      <c r="CQ68" s="16">
        <v>2.4559714301806368E-2</v>
      </c>
      <c r="CR68" s="16">
        <v>1.8432751780003254E-2</v>
      </c>
      <c r="CS68" s="16">
        <v>5.5343853765763562E-3</v>
      </c>
      <c r="CT68" s="16">
        <v>3.4619808605009572E-2</v>
      </c>
      <c r="CU68" s="16">
        <v>4.5812297566192317E-3</v>
      </c>
      <c r="CV68" s="16">
        <v>3.536959456595401E-2</v>
      </c>
      <c r="CW68" s="16">
        <v>3.9684343937417266E-2</v>
      </c>
      <c r="CX68" s="16">
        <v>1.2284203810009608E-2</v>
      </c>
      <c r="CY68" s="16">
        <v>5.893856185084223E-2</v>
      </c>
      <c r="CZ68" s="16">
        <v>6.3154437590033918E-3</v>
      </c>
      <c r="DA68" s="16">
        <v>3.0582332429865855E-2</v>
      </c>
      <c r="DB68" s="16">
        <v>3.9484185336678856E-2</v>
      </c>
      <c r="DC68" s="16">
        <v>1.7618125436436705E-2</v>
      </c>
      <c r="DD68" s="16">
        <v>2.3035422433949959E-2</v>
      </c>
      <c r="DE68" s="16">
        <v>2.8966923494858965E-2</v>
      </c>
      <c r="DF68" s="16">
        <v>2.0357747479921806E-2</v>
      </c>
      <c r="DG68" s="16">
        <v>4.6082972851248849E-2</v>
      </c>
      <c r="DH68" s="16">
        <v>4.4974227651162324E-2</v>
      </c>
      <c r="DI68" s="16">
        <v>1.9271180146691713E-2</v>
      </c>
      <c r="DJ68" s="16">
        <v>1.4069285474007653E-2</v>
      </c>
      <c r="DK68" s="16">
        <v>1.7733280831631615E-2</v>
      </c>
      <c r="DL68" s="16">
        <v>1.0399834441897626E-2</v>
      </c>
      <c r="DM68" s="16">
        <v>1.2383018750667829E-2</v>
      </c>
      <c r="DN68" s="16">
        <v>5.0843332553839327E-3</v>
      </c>
    </row>
    <row r="69" spans="4:118" x14ac:dyDescent="0.2">
      <c r="D69" s="13">
        <v>61</v>
      </c>
      <c r="E69" s="14">
        <f>1-IFERROR(_xlfn.LOGNORM.DIST(D69,Parameter!$G$6,Parameter!$G$7,TRUE),0)</f>
        <v>2.6170557567082309E-2</v>
      </c>
      <c r="F69" s="15">
        <f t="shared" si="0"/>
        <v>6.4262451604990653E-2</v>
      </c>
      <c r="G69" s="15">
        <f t="shared" si="1"/>
        <v>4.6626111011480263E-3</v>
      </c>
      <c r="R69" s="14">
        <f ca="1">1-IFERROR(_xlfn.LOGNORM.DIST($D69,Parameter!$E$6,Parameter!$E$7,TRUE),0)</f>
        <v>2.4836869430428288E-2</v>
      </c>
      <c r="S69" s="16">
        <v>9.6469925964212111E-3</v>
      </c>
      <c r="T69" s="16">
        <v>9.5038504097813004E-3</v>
      </c>
      <c r="U69" s="16">
        <v>3.0586344816486477E-2</v>
      </c>
      <c r="V69" s="16">
        <v>5.7540635282331443E-2</v>
      </c>
      <c r="W69" s="16">
        <v>1.7797048006088723E-2</v>
      </c>
      <c r="X69" s="16">
        <v>1.3718848985235899E-2</v>
      </c>
      <c r="Y69" s="16">
        <v>7.3352253322677141E-3</v>
      </c>
      <c r="Z69" s="16">
        <v>2.2521096180322386E-2</v>
      </c>
      <c r="AA69" s="16">
        <v>4.3097750428646275E-2</v>
      </c>
      <c r="AB69" s="16">
        <v>3.6323602022992563E-2</v>
      </c>
      <c r="AC69" s="16">
        <v>2.2192237887299737E-2</v>
      </c>
      <c r="AD69" s="16">
        <v>2.2376074980251959E-2</v>
      </c>
      <c r="AE69" s="16">
        <v>2.4819977621701739E-2</v>
      </c>
      <c r="AF69" s="16">
        <v>3.389840545470113E-2</v>
      </c>
      <c r="AG69" s="16">
        <v>2.0611680861595483E-2</v>
      </c>
      <c r="AH69" s="16">
        <v>3.4731846539154176E-2</v>
      </c>
      <c r="AI69" s="16">
        <v>9.6847579451710963E-3</v>
      </c>
      <c r="AJ69" s="16">
        <v>9.1912276861457753E-3</v>
      </c>
      <c r="AK69" s="16">
        <v>4.1134041654311337E-2</v>
      </c>
      <c r="AL69" s="16">
        <v>2.1519540157727723E-2</v>
      </c>
      <c r="AM69" s="16">
        <v>4.8597676711557014E-3</v>
      </c>
      <c r="AN69" s="16">
        <v>5.927404875951181E-2</v>
      </c>
      <c r="AO69" s="16">
        <v>1.3717065502134695E-2</v>
      </c>
      <c r="AP69" s="16">
        <v>3.2051198509205348E-2</v>
      </c>
      <c r="AQ69" s="16">
        <v>2.5938158492470387E-2</v>
      </c>
      <c r="AR69" s="16">
        <v>1.8252160595259803E-2</v>
      </c>
      <c r="AS69" s="16">
        <v>2.5281376305455794E-2</v>
      </c>
      <c r="AT69" s="16">
        <v>4.1182338871529001E-2</v>
      </c>
      <c r="AU69" s="16">
        <v>5.7906091550841143E-2</v>
      </c>
      <c r="AV69" s="16">
        <v>2.8326942140117661E-2</v>
      </c>
      <c r="AW69" s="16">
        <v>3.5475522577554264E-2</v>
      </c>
      <c r="AX69" s="16">
        <v>8.601628078970136E-3</v>
      </c>
      <c r="AY69" s="16">
        <v>2.1609652237324473E-2</v>
      </c>
      <c r="AZ69" s="16">
        <v>2.2772052559811184E-2</v>
      </c>
      <c r="BA69" s="16">
        <v>3.5336568146484004E-2</v>
      </c>
      <c r="BB69" s="16">
        <v>1.670471074641422E-2</v>
      </c>
      <c r="BC69" s="16">
        <v>3.5020394374618569E-2</v>
      </c>
      <c r="BD69" s="16">
        <v>1.9100148326864796E-2</v>
      </c>
      <c r="BE69" s="16">
        <v>3.4386225710433149E-2</v>
      </c>
      <c r="BF69" s="16">
        <v>6.371444185706121E-3</v>
      </c>
      <c r="BG69" s="16">
        <v>3.5619033834278446E-2</v>
      </c>
      <c r="BH69" s="16">
        <v>3.3761348504756095E-2</v>
      </c>
      <c r="BI69" s="16">
        <v>2.9051447912101236E-2</v>
      </c>
      <c r="BJ69" s="16">
        <v>3.5536064105479936E-2</v>
      </c>
      <c r="BK69" s="16">
        <v>2.6092666684032984E-2</v>
      </c>
      <c r="BL69" s="16">
        <v>3.9631528470614463E-2</v>
      </c>
      <c r="BM69" s="16">
        <v>3.5026328507365645E-2</v>
      </c>
      <c r="BN69" s="16">
        <v>1.7751274391649918E-2</v>
      </c>
      <c r="BO69" s="16">
        <v>2.968182676915887E-2</v>
      </c>
      <c r="BP69" s="16">
        <v>6.877576846518596E-2</v>
      </c>
      <c r="BQ69" s="16">
        <v>2.8486065603234745E-2</v>
      </c>
      <c r="BR69" s="16">
        <v>1.7016872903851343E-2</v>
      </c>
      <c r="BS69" s="16">
        <v>2.5951690964157725E-2</v>
      </c>
      <c r="BT69" s="16">
        <v>4.5157945188642024E-2</v>
      </c>
      <c r="BU69" s="16">
        <v>3.9963506957761963E-3</v>
      </c>
      <c r="BV69" s="16">
        <v>8.0408614346711316E-2</v>
      </c>
      <c r="BW69" s="16">
        <v>2.6646016380655779E-2</v>
      </c>
      <c r="BX69" s="16">
        <v>4.3357318276514345E-2</v>
      </c>
      <c r="BY69" s="16">
        <v>5.1467088365402036E-2</v>
      </c>
      <c r="BZ69" s="16">
        <v>1.705050319208723E-2</v>
      </c>
      <c r="CA69" s="16">
        <v>1.1190281812352154E-3</v>
      </c>
      <c r="CB69" s="16">
        <v>7.5228197073208714E-2</v>
      </c>
      <c r="CC69" s="16">
        <v>2.8356166307345942E-2</v>
      </c>
      <c r="CD69" s="16">
        <v>4.306202179435259E-2</v>
      </c>
      <c r="CE69" s="16">
        <v>3.1961336235156068E-2</v>
      </c>
      <c r="CF69" s="16">
        <v>2.3492788544431709E-2</v>
      </c>
      <c r="CG69" s="16">
        <v>2.5252423218913966E-2</v>
      </c>
      <c r="CH69" s="16">
        <v>5.9719698106045493E-3</v>
      </c>
      <c r="CI69" s="16">
        <v>1.1747844367933746E-2</v>
      </c>
      <c r="CJ69" s="16">
        <v>4.9288611626824852E-2</v>
      </c>
      <c r="CK69" s="16">
        <v>9.7232048928661552E-3</v>
      </c>
      <c r="CL69" s="16">
        <v>1.9448021482854627E-2</v>
      </c>
      <c r="CM69" s="16">
        <v>9.263942870493036E-3</v>
      </c>
      <c r="CN69" s="16">
        <v>3.5429841292343056E-2</v>
      </c>
      <c r="CO69" s="16">
        <v>4.836758155430998E-2</v>
      </c>
      <c r="CP69" s="16">
        <v>1.0477560192864832E-2</v>
      </c>
      <c r="CQ69" s="16">
        <v>2.4233701722164436E-2</v>
      </c>
      <c r="CR69" s="16">
        <v>1.8169763982255338E-2</v>
      </c>
      <c r="CS69" s="16">
        <v>5.4267816971675931E-3</v>
      </c>
      <c r="CT69" s="16">
        <v>3.4106778400189941E-2</v>
      </c>
      <c r="CU69" s="16">
        <v>4.4842313473315576E-3</v>
      </c>
      <c r="CV69" s="16">
        <v>3.4970437460031589E-2</v>
      </c>
      <c r="CW69" s="16">
        <v>3.9238614473123934E-2</v>
      </c>
      <c r="CX69" s="16">
        <v>1.2105086906177176E-2</v>
      </c>
      <c r="CY69" s="16">
        <v>5.8336508622619077E-2</v>
      </c>
      <c r="CZ69" s="16">
        <v>6.1825258337684375E-3</v>
      </c>
      <c r="DA69" s="16">
        <v>3.0247846920568588E-2</v>
      </c>
      <c r="DB69" s="16">
        <v>3.8938939783498716E-2</v>
      </c>
      <c r="DC69" s="16">
        <v>1.732408032999988E-2</v>
      </c>
      <c r="DD69" s="16">
        <v>2.26634203503564E-2</v>
      </c>
      <c r="DE69" s="16">
        <v>2.8590206025823406E-2</v>
      </c>
      <c r="DF69" s="16">
        <v>2.0089179479039321E-2</v>
      </c>
      <c r="DG69" s="16">
        <v>4.5617253600215402E-2</v>
      </c>
      <c r="DH69" s="16">
        <v>4.4479521898952434E-2</v>
      </c>
      <c r="DI69" s="16">
        <v>1.8993569884440564E-2</v>
      </c>
      <c r="DJ69" s="16">
        <v>1.3838611452278604E-2</v>
      </c>
      <c r="DK69" s="16">
        <v>1.748790311174675E-2</v>
      </c>
      <c r="DL69" s="16">
        <v>1.0238099996099925E-2</v>
      </c>
      <c r="DM69" s="16">
        <v>1.2179705423962406E-2</v>
      </c>
      <c r="DN69" s="16">
        <v>4.9792402031786365E-3</v>
      </c>
    </row>
    <row r="70" spans="4:118" x14ac:dyDescent="0.2">
      <c r="D70" s="13">
        <v>62</v>
      </c>
      <c r="E70" s="14">
        <f>1-IFERROR(_xlfn.LOGNORM.DIST(D70,Parameter!$G$6,Parameter!$G$7,TRUE),0)</f>
        <v>2.5833123106629552E-2</v>
      </c>
      <c r="F70" s="15">
        <f t="shared" si="0"/>
        <v>6.3690190334073499E-2</v>
      </c>
      <c r="G70" s="15">
        <f t="shared" si="1"/>
        <v>4.5637809019488714E-3</v>
      </c>
      <c r="R70" s="14">
        <f ca="1">1-IFERROR(_xlfn.LOGNORM.DIST($D70,Parameter!$E$6,Parameter!$E$7,TRUE),0)</f>
        <v>2.4495647723102421E-2</v>
      </c>
      <c r="S70" s="16">
        <v>9.4975653761240064E-3</v>
      </c>
      <c r="T70" s="16">
        <v>9.3441189477249109E-3</v>
      </c>
      <c r="U70" s="16">
        <v>3.0167315077170187E-2</v>
      </c>
      <c r="V70" s="16">
        <v>5.6970178715518571E-2</v>
      </c>
      <c r="W70" s="16">
        <v>1.7557203946713451E-2</v>
      </c>
      <c r="X70" s="16">
        <v>1.3487989047194948E-2</v>
      </c>
      <c r="Y70" s="16">
        <v>7.2037432733647044E-3</v>
      </c>
      <c r="Z70" s="16">
        <v>2.2248340634269503E-2</v>
      </c>
      <c r="AA70" s="16">
        <v>4.2637876120559359E-2</v>
      </c>
      <c r="AB70" s="16">
        <v>3.5849526596287151E-2</v>
      </c>
      <c r="AC70" s="16">
        <v>2.1889938928923547E-2</v>
      </c>
      <c r="AD70" s="16">
        <v>2.2074701788481588E-2</v>
      </c>
      <c r="AE70" s="16">
        <v>2.4496915099978755E-2</v>
      </c>
      <c r="AF70" s="16">
        <v>3.3488108243929338E-2</v>
      </c>
      <c r="AG70" s="16">
        <v>2.025824766075135E-2</v>
      </c>
      <c r="AH70" s="16">
        <v>3.4355912821358858E-2</v>
      </c>
      <c r="AI70" s="16">
        <v>9.5271582321158066E-3</v>
      </c>
      <c r="AJ70" s="16">
        <v>9.0292304612487051E-3</v>
      </c>
      <c r="AK70" s="16">
        <v>4.0728532171406595E-2</v>
      </c>
      <c r="AL70" s="16">
        <v>2.1240403281376219E-2</v>
      </c>
      <c r="AM70" s="16">
        <v>4.7551868797142127E-3</v>
      </c>
      <c r="AN70" s="16">
        <v>5.869947708250467E-2</v>
      </c>
      <c r="AO70" s="16">
        <v>1.3507952580981253E-2</v>
      </c>
      <c r="AP70" s="16">
        <v>3.1705233502836494E-2</v>
      </c>
      <c r="AQ70" s="16">
        <v>2.564065358085077E-2</v>
      </c>
      <c r="AR70" s="16">
        <v>1.7965626278281133E-2</v>
      </c>
      <c r="AS70" s="16">
        <v>2.4953127761263016E-2</v>
      </c>
      <c r="AT70" s="16">
        <v>4.0736713695732063E-2</v>
      </c>
      <c r="AU70" s="16">
        <v>5.7338692061851493E-2</v>
      </c>
      <c r="AV70" s="16">
        <v>2.794153375921149E-2</v>
      </c>
      <c r="AW70" s="16">
        <v>3.5109765937425874E-2</v>
      </c>
      <c r="AX70" s="16">
        <v>8.4486984605931514E-3</v>
      </c>
      <c r="AY70" s="16">
        <v>2.1276483136847046E-2</v>
      </c>
      <c r="AZ70" s="16">
        <v>2.2476816950783629E-2</v>
      </c>
      <c r="BA70" s="16">
        <v>3.4854696882794856E-2</v>
      </c>
      <c r="BB70" s="16">
        <v>1.6450484828541279E-2</v>
      </c>
      <c r="BC70" s="16">
        <v>3.4558623336155558E-2</v>
      </c>
      <c r="BD70" s="16">
        <v>1.886488095956218E-2</v>
      </c>
      <c r="BE70" s="16">
        <v>3.3978357586195052E-2</v>
      </c>
      <c r="BF70" s="16">
        <v>6.2446630725970786E-3</v>
      </c>
      <c r="BG70" s="16">
        <v>3.5149267278780649E-2</v>
      </c>
      <c r="BH70" s="16">
        <v>3.337972658933519E-2</v>
      </c>
      <c r="BI70" s="16">
        <v>2.8715189835074484E-2</v>
      </c>
      <c r="BJ70" s="16">
        <v>3.5123582875981052E-2</v>
      </c>
      <c r="BK70" s="16">
        <v>2.5782006754731523E-2</v>
      </c>
      <c r="BL70" s="16">
        <v>3.9138872061348362E-2</v>
      </c>
      <c r="BM70" s="16">
        <v>3.4618809873494638E-2</v>
      </c>
      <c r="BN70" s="16">
        <v>1.7476155791529613E-2</v>
      </c>
      <c r="BO70" s="16">
        <v>2.9326996019585883E-2</v>
      </c>
      <c r="BP70" s="16">
        <v>6.820559756168354E-2</v>
      </c>
      <c r="BQ70" s="16">
        <v>2.8160266028892655E-2</v>
      </c>
      <c r="BR70" s="16">
        <v>1.6757713344575986E-2</v>
      </c>
      <c r="BS70" s="16">
        <v>2.5652275342719966E-2</v>
      </c>
      <c r="BT70" s="16">
        <v>4.4613338956968396E-2</v>
      </c>
      <c r="BU70" s="16">
        <v>3.9087138078178763E-3</v>
      </c>
      <c r="BV70" s="16">
        <v>7.9758904338759207E-2</v>
      </c>
      <c r="BW70" s="16">
        <v>2.6299292248348372E-2</v>
      </c>
      <c r="BX70" s="16">
        <v>4.2832370825306443E-2</v>
      </c>
      <c r="BY70" s="16">
        <v>5.0972932276230898E-2</v>
      </c>
      <c r="BZ70" s="16">
        <v>1.6773013655126512E-2</v>
      </c>
      <c r="CA70" s="16">
        <v>1.0877509380692318E-3</v>
      </c>
      <c r="CB70" s="16">
        <v>7.451362181923249E-2</v>
      </c>
      <c r="CC70" s="16">
        <v>2.7966895909822598E-2</v>
      </c>
      <c r="CD70" s="16">
        <v>4.2598307075231379E-2</v>
      </c>
      <c r="CE70" s="16">
        <v>3.1591810421932931E-2</v>
      </c>
      <c r="CF70" s="16">
        <v>2.3187807151701989E-2</v>
      </c>
      <c r="CG70" s="16">
        <v>2.4908351806163687E-2</v>
      </c>
      <c r="CH70" s="16">
        <v>5.8561048215934886E-3</v>
      </c>
      <c r="CI70" s="16">
        <v>1.1584206250379814E-2</v>
      </c>
      <c r="CJ70" s="16">
        <v>4.8784433483411882E-2</v>
      </c>
      <c r="CK70" s="16">
        <v>9.5528478510352732E-3</v>
      </c>
      <c r="CL70" s="16">
        <v>1.9158187769877211E-2</v>
      </c>
      <c r="CM70" s="16">
        <v>9.1119449902120619E-3</v>
      </c>
      <c r="CN70" s="16">
        <v>3.5041543353125926E-2</v>
      </c>
      <c r="CO70" s="16">
        <v>4.7855786000696177E-2</v>
      </c>
      <c r="CP70" s="16">
        <v>1.0295594438549438E-2</v>
      </c>
      <c r="CQ70" s="16">
        <v>2.3916544444340992E-2</v>
      </c>
      <c r="CR70" s="16">
        <v>1.7914179614643477E-2</v>
      </c>
      <c r="CS70" s="16">
        <v>5.3227462742562182E-3</v>
      </c>
      <c r="CT70" s="16">
        <v>3.3608206184698508E-2</v>
      </c>
      <c r="CU70" s="16">
        <v>4.3906040649230871E-3</v>
      </c>
      <c r="CV70" s="16">
        <v>3.4581385992778824E-2</v>
      </c>
      <c r="CW70" s="16">
        <v>3.8804116974287872E-2</v>
      </c>
      <c r="CX70" s="16">
        <v>1.1931096208705583E-2</v>
      </c>
      <c r="CY70" s="16">
        <v>5.7748969038436515E-2</v>
      </c>
      <c r="CZ70" s="16">
        <v>6.0541931048678777E-3</v>
      </c>
      <c r="DA70" s="16">
        <v>2.9921764632182879E-2</v>
      </c>
      <c r="DB70" s="16">
        <v>3.8408558628139411E-2</v>
      </c>
      <c r="DC70" s="16">
        <v>1.7038916993847408E-2</v>
      </c>
      <c r="DD70" s="16">
        <v>2.23024211610654E-2</v>
      </c>
      <c r="DE70" s="16">
        <v>2.8223599335952865E-2</v>
      </c>
      <c r="DF70" s="16">
        <v>1.9827916815957081E-2</v>
      </c>
      <c r="DG70" s="16">
        <v>4.5162806901404284E-2</v>
      </c>
      <c r="DH70" s="16">
        <v>4.3997147684154081E-2</v>
      </c>
      <c r="DI70" s="16">
        <v>1.8723799787655038E-2</v>
      </c>
      <c r="DJ70" s="16">
        <v>1.3614878304671008E-2</v>
      </c>
      <c r="DK70" s="16">
        <v>1.7249349855119278E-2</v>
      </c>
      <c r="DL70" s="16">
        <v>1.0081140343463413E-2</v>
      </c>
      <c r="DM70" s="16">
        <v>1.1982527525713049E-2</v>
      </c>
      <c r="DN70" s="16">
        <v>4.8777485773551232E-3</v>
      </c>
    </row>
    <row r="71" spans="4:118" x14ac:dyDescent="0.2">
      <c r="D71" s="13">
        <v>63</v>
      </c>
      <c r="E71" s="14">
        <f>1-IFERROR(_xlfn.LOGNORM.DIST(D71,Parameter!$G$6,Parameter!$G$7,TRUE),0)</f>
        <v>2.5504649324819217E-2</v>
      </c>
      <c r="F71" s="15">
        <f t="shared" si="0"/>
        <v>6.3130990158811254E-2</v>
      </c>
      <c r="G71" s="15">
        <f t="shared" si="1"/>
        <v>4.4683620805864022E-3</v>
      </c>
      <c r="R71" s="14">
        <f ca="1">1-IFERROR(_xlfn.LOGNORM.DIST($D71,Parameter!$E$6,Parameter!$E$7,TRUE),0)</f>
        <v>2.4163735275907205E-2</v>
      </c>
      <c r="S71" s="16">
        <v>9.3525085422557774E-3</v>
      </c>
      <c r="T71" s="16">
        <v>9.1892408417683091E-3</v>
      </c>
      <c r="U71" s="16">
        <v>2.975964638293993E-2</v>
      </c>
      <c r="V71" s="16">
        <v>5.6413205820614487E-2</v>
      </c>
      <c r="W71" s="16">
        <v>1.732389629501907E-2</v>
      </c>
      <c r="X71" s="16">
        <v>1.3264104510768759E-2</v>
      </c>
      <c r="Y71" s="16">
        <v>7.076398413314533E-3</v>
      </c>
      <c r="Z71" s="16">
        <v>2.1982675279732189E-2</v>
      </c>
      <c r="AA71" s="16">
        <v>4.2189240881550405E-2</v>
      </c>
      <c r="AB71" s="16">
        <v>3.5387996993371917E-2</v>
      </c>
      <c r="AC71" s="16">
        <v>2.1595878676035407E-2</v>
      </c>
      <c r="AD71" s="16">
        <v>2.1781502369559447E-2</v>
      </c>
      <c r="AE71" s="16">
        <v>2.4182474384755293E-2</v>
      </c>
      <c r="AF71" s="16">
        <v>3.3088375524371383E-2</v>
      </c>
      <c r="AG71" s="16">
        <v>1.9915498416536948E-2</v>
      </c>
      <c r="AH71" s="16">
        <v>3.3989264809073827E-2</v>
      </c>
      <c r="AI71" s="16">
        <v>9.3742735256884258E-3</v>
      </c>
      <c r="AJ71" s="16">
        <v>8.8722718319881322E-3</v>
      </c>
      <c r="AK71" s="16">
        <v>4.0332683662704372E-2</v>
      </c>
      <c r="AL71" s="16">
        <v>2.0968728162363837E-2</v>
      </c>
      <c r="AM71" s="16">
        <v>4.6542433183239806E-3</v>
      </c>
      <c r="AN71" s="16">
        <v>5.8138375367229655E-2</v>
      </c>
      <c r="AO71" s="16">
        <v>1.3304877573281582E-2</v>
      </c>
      <c r="AP71" s="16">
        <v>3.1367821939626284E-2</v>
      </c>
      <c r="AQ71" s="16">
        <v>2.5350702767930278E-2</v>
      </c>
      <c r="AR71" s="16">
        <v>1.7687429718953984E-2</v>
      </c>
      <c r="AS71" s="16">
        <v>2.4633627080374754E-2</v>
      </c>
      <c r="AT71" s="16">
        <v>4.0302046273770875E-2</v>
      </c>
      <c r="AU71" s="16">
        <v>5.6784650648222801E-2</v>
      </c>
      <c r="AV71" s="16">
        <v>2.7566565482585847E-2</v>
      </c>
      <c r="AW71" s="16">
        <v>3.4752887718968006E-2</v>
      </c>
      <c r="AX71" s="16">
        <v>8.3005505086617415E-3</v>
      </c>
      <c r="AY71" s="16">
        <v>2.0952895690922957E-2</v>
      </c>
      <c r="AZ71" s="16">
        <v>2.2189462625740619E-2</v>
      </c>
      <c r="BA71" s="16">
        <v>3.438581482621661E-2</v>
      </c>
      <c r="BB71" s="16">
        <v>1.6203567284341136E-2</v>
      </c>
      <c r="BC71" s="16">
        <v>3.4109134938970054E-2</v>
      </c>
      <c r="BD71" s="16">
        <v>1.8635789131956071E-2</v>
      </c>
      <c r="BE71" s="16">
        <v>3.3580907768321788E-2</v>
      </c>
      <c r="BF71" s="16">
        <v>6.1220963213661772E-3</v>
      </c>
      <c r="BG71" s="16">
        <v>3.4691991238654185E-2</v>
      </c>
      <c r="BH71" s="16">
        <v>3.3007685147814159E-2</v>
      </c>
      <c r="BI71" s="16">
        <v>2.8387477511306436E-2</v>
      </c>
      <c r="BJ71" s="16">
        <v>3.4721544473966137E-2</v>
      </c>
      <c r="BK71" s="16">
        <v>2.5479345180249746E-2</v>
      </c>
      <c r="BL71" s="16">
        <v>3.8658976010025992E-2</v>
      </c>
      <c r="BM71" s="16">
        <v>3.4221621207563446E-2</v>
      </c>
      <c r="BN71" s="16">
        <v>1.7209001199298912E-2</v>
      </c>
      <c r="BO71" s="16">
        <v>2.898128841094183E-2</v>
      </c>
      <c r="BP71" s="16">
        <v>6.7648117827385223E-2</v>
      </c>
      <c r="BQ71" s="16">
        <v>2.7842713532807872E-2</v>
      </c>
      <c r="BR71" s="16">
        <v>1.6506003642836609E-2</v>
      </c>
      <c r="BS71" s="16">
        <v>2.5360478877431203E-2</v>
      </c>
      <c r="BT71" s="16">
        <v>4.4082623188462566E-2</v>
      </c>
      <c r="BU71" s="16">
        <v>3.8241638291812707E-3</v>
      </c>
      <c r="BV71" s="16">
        <v>7.912347400524633E-2</v>
      </c>
      <c r="BW71" s="16">
        <v>2.5961805413127537E-2</v>
      </c>
      <c r="BX71" s="16">
        <v>4.2320848920595511E-2</v>
      </c>
      <c r="BY71" s="16">
        <v>5.0490376878174481E-2</v>
      </c>
      <c r="BZ71" s="16">
        <v>1.6503744009427335E-2</v>
      </c>
      <c r="CA71" s="16">
        <v>1.0577583277736613E-3</v>
      </c>
      <c r="CB71" s="16">
        <v>7.3815549385187751E-2</v>
      </c>
      <c r="CC71" s="16">
        <v>2.7588208843366435E-2</v>
      </c>
      <c r="CD71" s="16">
        <v>4.2145961607289451E-2</v>
      </c>
      <c r="CE71" s="16">
        <v>3.1231651026163099E-2</v>
      </c>
      <c r="CF71" s="16">
        <v>2.2890966133018664E-2</v>
      </c>
      <c r="CG71" s="16">
        <v>2.4573631763484927E-2</v>
      </c>
      <c r="CH71" s="16">
        <v>5.7440446640071308E-3</v>
      </c>
      <c r="CI71" s="16">
        <v>1.1425122069670057E-2</v>
      </c>
      <c r="CJ71" s="16">
        <v>4.8292354325267683E-2</v>
      </c>
      <c r="CK71" s="16">
        <v>9.3877694544645118E-3</v>
      </c>
      <c r="CL71" s="16">
        <v>1.8876584167734189E-2</v>
      </c>
      <c r="CM71" s="16">
        <v>8.9645151383249688E-3</v>
      </c>
      <c r="CN71" s="16">
        <v>3.4662874263400534E-2</v>
      </c>
      <c r="CO71" s="16">
        <v>4.7356420727419191E-2</v>
      </c>
      <c r="CP71" s="16">
        <v>1.0119236323963721E-2</v>
      </c>
      <c r="CQ71" s="16">
        <v>2.3607874449153465E-2</v>
      </c>
      <c r="CR71" s="16">
        <v>1.7665684003618121E-2</v>
      </c>
      <c r="CS71" s="16">
        <v>5.2221105904544096E-3</v>
      </c>
      <c r="CT71" s="16">
        <v>3.3123482170978269E-2</v>
      </c>
      <c r="CU71" s="16">
        <v>4.3001838178714502E-3</v>
      </c>
      <c r="CV71" s="16">
        <v>3.4202037062442514E-2</v>
      </c>
      <c r="CW71" s="16">
        <v>3.8380405119154526E-2</v>
      </c>
      <c r="CX71" s="16">
        <v>1.1762011016197116E-2</v>
      </c>
      <c r="CY71" s="16">
        <v>5.7175382053183621E-2</v>
      </c>
      <c r="CZ71" s="16">
        <v>5.9302239789138511E-3</v>
      </c>
      <c r="DA71" s="16">
        <v>2.960375116135372E-2</v>
      </c>
      <c r="DB71" s="16">
        <v>3.7892427042254595E-2</v>
      </c>
      <c r="DC71" s="16">
        <v>1.6762242619816625E-2</v>
      </c>
      <c r="DD71" s="16">
        <v>2.1951945574396281E-2</v>
      </c>
      <c r="DE71" s="16">
        <v>2.7866686706419119E-2</v>
      </c>
      <c r="DF71" s="16">
        <v>1.9573655056449368E-2</v>
      </c>
      <c r="DG71" s="16">
        <v>4.4719194574112442E-2</v>
      </c>
      <c r="DH71" s="16">
        <v>4.3526618477913614E-2</v>
      </c>
      <c r="DI71" s="16">
        <v>1.8461536185184202E-2</v>
      </c>
      <c r="DJ71" s="16">
        <v>1.3397778968348817E-2</v>
      </c>
      <c r="DK71" s="16">
        <v>1.7017332815219333E-2</v>
      </c>
      <c r="DL71" s="16">
        <v>9.9287459671953959E-3</v>
      </c>
      <c r="DM71" s="16">
        <v>1.1791212835117526E-2</v>
      </c>
      <c r="DN71" s="16">
        <v>4.7796847296803779E-3</v>
      </c>
    </row>
    <row r="72" spans="4:118" x14ac:dyDescent="0.2">
      <c r="D72" s="13">
        <v>64</v>
      </c>
      <c r="E72" s="14">
        <f>1-IFERROR(_xlfn.LOGNORM.DIST(D72,Parameter!$G$6,Parameter!$G$7,TRUE),0)</f>
        <v>2.5184771209569079E-2</v>
      </c>
      <c r="F72" s="15">
        <f t="shared" si="0"/>
        <v>6.2584363565207995E-2</v>
      </c>
      <c r="G72" s="15">
        <f t="shared" si="1"/>
        <v>4.3761902705154064E-3</v>
      </c>
      <c r="R72" s="14">
        <f ca="1">1-IFERROR(_xlfn.LOGNORM.DIST($D72,Parameter!$E$6,Parameter!$E$7,TRUE),0)</f>
        <v>2.3840747122968575E-2</v>
      </c>
      <c r="S72" s="16">
        <v>9.2116324902137281E-3</v>
      </c>
      <c r="T72" s="16">
        <v>9.0390007968138564E-3</v>
      </c>
      <c r="U72" s="16">
        <v>2.9362871758651377E-2</v>
      </c>
      <c r="V72" s="16">
        <v>5.586920424251729E-2</v>
      </c>
      <c r="W72" s="16">
        <v>1.7096853946347301E-2</v>
      </c>
      <c r="X72" s="16">
        <v>1.3046888014289104E-2</v>
      </c>
      <c r="Y72" s="16">
        <v>6.9530030029437695E-3</v>
      </c>
      <c r="Z72" s="16">
        <v>2.1723814113998041E-2</v>
      </c>
      <c r="AA72" s="16">
        <v>4.1751408791052436E-2</v>
      </c>
      <c r="AB72" s="16">
        <v>3.4938505315189383E-2</v>
      </c>
      <c r="AC72" s="16">
        <v>2.1309716181267535E-2</v>
      </c>
      <c r="AD72" s="16">
        <v>2.1496139379914347E-2</v>
      </c>
      <c r="AE72" s="16">
        <v>2.3876303121436293E-2</v>
      </c>
      <c r="AF72" s="16">
        <v>3.2698785204292591E-2</v>
      </c>
      <c r="AG72" s="16">
        <v>1.9582964564111793E-2</v>
      </c>
      <c r="AH72" s="16">
        <v>3.3631539444138658E-2</v>
      </c>
      <c r="AI72" s="16">
        <v>9.2258965779868918E-3</v>
      </c>
      <c r="AJ72" s="16">
        <v>8.7201251359581011E-3</v>
      </c>
      <c r="AK72" s="16">
        <v>3.9946125937406984E-2</v>
      </c>
      <c r="AL72" s="16">
        <v>2.0704209119494221E-2</v>
      </c>
      <c r="AM72" s="16">
        <v>4.5567609722467761E-3</v>
      </c>
      <c r="AN72" s="16">
        <v>5.7590234016681841E-2</v>
      </c>
      <c r="AO72" s="16">
        <v>1.3107581221103559E-2</v>
      </c>
      <c r="AP72" s="16">
        <v>3.1038628937192558E-2</v>
      </c>
      <c r="AQ72" s="16">
        <v>2.5068005518550263E-2</v>
      </c>
      <c r="AR72" s="16">
        <v>1.7417212410465011E-2</v>
      </c>
      <c r="AS72" s="16">
        <v>2.4322517100460184E-2</v>
      </c>
      <c r="AT72" s="16">
        <v>3.9877910034628705E-2</v>
      </c>
      <c r="AU72" s="16">
        <v>5.624346074289388E-2</v>
      </c>
      <c r="AV72" s="16">
        <v>2.720160793976556E-2</v>
      </c>
      <c r="AW72" s="16">
        <v>3.4404543933351794E-2</v>
      </c>
      <c r="AX72" s="16">
        <v>8.1569683255385828E-3</v>
      </c>
      <c r="AY72" s="16">
        <v>2.063848142429936E-2</v>
      </c>
      <c r="AZ72" s="16">
        <v>2.1909667144252909E-2</v>
      </c>
      <c r="BA72" s="16">
        <v>3.3929390857186048E-2</v>
      </c>
      <c r="BB72" s="16">
        <v>1.5963645688139017E-2</v>
      </c>
      <c r="BC72" s="16">
        <v>3.3671430347896436E-2</v>
      </c>
      <c r="BD72" s="16">
        <v>1.8412622052747185E-2</v>
      </c>
      <c r="BE72" s="16">
        <v>3.3193461795234747E-2</v>
      </c>
      <c r="BF72" s="16">
        <v>6.0035460255339901E-3</v>
      </c>
      <c r="BG72" s="16">
        <v>3.4246698668125242E-2</v>
      </c>
      <c r="BH72" s="16">
        <v>3.2644846344989542E-2</v>
      </c>
      <c r="BI72" s="16">
        <v>2.8067971190258167E-2</v>
      </c>
      <c r="BJ72" s="16">
        <v>3.4329535530334798E-2</v>
      </c>
      <c r="BK72" s="16">
        <v>2.5184361434537506E-2</v>
      </c>
      <c r="BL72" s="16">
        <v>3.8191330078064745E-2</v>
      </c>
      <c r="BM72" s="16">
        <v>3.3834353273010209E-2</v>
      </c>
      <c r="BN72" s="16">
        <v>1.6949469064845846E-2</v>
      </c>
      <c r="BO72" s="16">
        <v>2.8644339118416684E-2</v>
      </c>
      <c r="BP72" s="16">
        <v>6.7102861728160379E-2</v>
      </c>
      <c r="BQ72" s="16">
        <v>2.7533080850577818E-2</v>
      </c>
      <c r="BR72" s="16">
        <v>1.626142539545028E-2</v>
      </c>
      <c r="BS72" s="16">
        <v>2.5075998099472363E-2</v>
      </c>
      <c r="BT72" s="16">
        <v>4.3565247906112492E-2</v>
      </c>
      <c r="BU72" s="16">
        <v>3.7425499598440215E-3</v>
      </c>
      <c r="BV72" s="16">
        <v>7.850180159456599E-2</v>
      </c>
      <c r="BW72" s="16">
        <v>2.5633179024943331E-2</v>
      </c>
      <c r="BX72" s="16">
        <v>4.1822219911885505E-2</v>
      </c>
      <c r="BY72" s="16">
        <v>5.0018982095003883E-2</v>
      </c>
      <c r="BZ72" s="16">
        <v>1.624233697594335E-2</v>
      </c>
      <c r="CA72" s="16">
        <v>1.0289804233371003E-3</v>
      </c>
      <c r="CB72" s="16">
        <v>7.3133362386745615E-2</v>
      </c>
      <c r="CC72" s="16">
        <v>2.7219669006761538E-2</v>
      </c>
      <c r="CD72" s="16">
        <v>4.1704543711283293E-2</v>
      </c>
      <c r="CE72" s="16">
        <v>3.0880486580412314E-2</v>
      </c>
      <c r="CF72" s="16">
        <v>2.2601932582393292E-2</v>
      </c>
      <c r="CG72" s="16">
        <v>2.4247877250722971E-2</v>
      </c>
      <c r="CH72" s="16">
        <v>5.6356118906814023E-3</v>
      </c>
      <c r="CI72" s="16">
        <v>1.1270400065942265E-2</v>
      </c>
      <c r="CJ72" s="16">
        <v>4.7811909952988119E-2</v>
      </c>
      <c r="CK72" s="16">
        <v>9.2277328871487319E-3</v>
      </c>
      <c r="CL72" s="16">
        <v>1.8602861827871631E-2</v>
      </c>
      <c r="CM72" s="16">
        <v>8.8214519256197832E-3</v>
      </c>
      <c r="CN72" s="16">
        <v>3.429345687964247E-2</v>
      </c>
      <c r="CO72" s="16">
        <v>4.6869005874901171E-2</v>
      </c>
      <c r="CP72" s="16">
        <v>9.9482352483004632E-3</v>
      </c>
      <c r="CQ72" s="16">
        <v>2.3307344280603104E-2</v>
      </c>
      <c r="CR72" s="16">
        <v>1.7423980341249368E-2</v>
      </c>
      <c r="CS72" s="16">
        <v>5.1247164461718508E-3</v>
      </c>
      <c r="CT72" s="16">
        <v>3.2652030840721213E-2</v>
      </c>
      <c r="CU72" s="16">
        <v>4.2128167784727388E-3</v>
      </c>
      <c r="CV72" s="16">
        <v>3.3832009475288194E-2</v>
      </c>
      <c r="CW72" s="16">
        <v>3.7967056766162077E-2</v>
      </c>
      <c r="CX72" s="16">
        <v>1.1597623289672288E-2</v>
      </c>
      <c r="CY72" s="16">
        <v>5.6615216425385695E-2</v>
      </c>
      <c r="CZ72" s="16">
        <v>5.8104106320335802E-3</v>
      </c>
      <c r="DA72" s="16">
        <v>2.9293490270190459E-2</v>
      </c>
      <c r="DB72" s="16">
        <v>3.7389964304619716E-2</v>
      </c>
      <c r="DC72" s="16">
        <v>1.6493687275079827E-2</v>
      </c>
      <c r="DD72" s="16">
        <v>2.1611541882834873E-2</v>
      </c>
      <c r="DE72" s="16">
        <v>2.7519074555691247E-2</v>
      </c>
      <c r="DF72" s="16">
        <v>1.9326106826351386E-2</v>
      </c>
      <c r="DG72" s="16">
        <v>4.4286001840826428E-2</v>
      </c>
      <c r="DH72" s="16">
        <v>4.3067473971059034E-2</v>
      </c>
      <c r="DI72" s="16">
        <v>1.8206464360184027E-2</v>
      </c>
      <c r="DJ72" s="16">
        <v>1.3187024295300609E-2</v>
      </c>
      <c r="DK72" s="16">
        <v>1.6791580049535071E-2</v>
      </c>
      <c r="DL72" s="16">
        <v>9.7807195306954808E-3</v>
      </c>
      <c r="DM72" s="16">
        <v>1.1605505056062282E-2</v>
      </c>
      <c r="DN72" s="16">
        <v>4.6848857982623171E-3</v>
      </c>
    </row>
    <row r="73" spans="4:118" x14ac:dyDescent="0.2">
      <c r="D73" s="13">
        <v>65</v>
      </c>
      <c r="E73" s="14">
        <f>1-IFERROR(_xlfn.LOGNORM.DIST(D73,Parameter!$G$6,Parameter!$G$7,TRUE),0)</f>
        <v>2.487314376740013E-2</v>
      </c>
      <c r="F73" s="15">
        <f t="shared" ref="F73:F108" si="2">_xlfn.PERCENTILE.INC(S73:DN73,0.975)</f>
        <v>6.2049848242230109E-2</v>
      </c>
      <c r="G73" s="15">
        <f t="shared" ref="G73:G108" si="3">_xlfn.PERCENTILE.INC(S73:DN73,0.025)</f>
        <v>4.2871112652194008E-3</v>
      </c>
      <c r="R73" s="14">
        <f ca="1">1-IFERROR(_xlfn.LOGNORM.DIST($D73,Parameter!$E$6,Parameter!$E$7,TRUE),0)</f>
        <v>2.3526319616661517E-2</v>
      </c>
      <c r="S73" s="16">
        <v>9.0747585033177369E-3</v>
      </c>
      <c r="T73" s="16">
        <v>8.8931960635971752E-3</v>
      </c>
      <c r="U73" s="16">
        <v>2.8976549947585584E-2</v>
      </c>
      <c r="V73" s="16">
        <v>5.5337688408217844E-2</v>
      </c>
      <c r="W73" s="16">
        <v>1.6875820870518199E-2</v>
      </c>
      <c r="X73" s="16">
        <v>1.2836049988824372E-2</v>
      </c>
      <c r="Y73" s="16">
        <v>6.8333804145159771E-3</v>
      </c>
      <c r="Z73" s="16">
        <v>2.1471486739662704E-2</v>
      </c>
      <c r="AA73" s="16">
        <v>4.1323967048873977E-2</v>
      </c>
      <c r="AB73" s="16">
        <v>3.4500571335742136E-2</v>
      </c>
      <c r="AC73" s="16">
        <v>2.1031129402248272E-2</v>
      </c>
      <c r="AD73" s="16">
        <v>2.1218294148465877E-2</v>
      </c>
      <c r="AE73" s="16">
        <v>2.3578068326119306E-2</v>
      </c>
      <c r="AF73" s="16">
        <v>3.2318938023917498E-2</v>
      </c>
      <c r="AG73" s="16">
        <v>1.9260204491158173E-2</v>
      </c>
      <c r="AH73" s="16">
        <v>3.3282393048270964E-2</v>
      </c>
      <c r="AI73" s="16">
        <v>9.081832144383073E-3</v>
      </c>
      <c r="AJ73" s="16">
        <v>8.5725770434177395E-3</v>
      </c>
      <c r="AK73" s="16">
        <v>3.9568508303903682E-2</v>
      </c>
      <c r="AL73" s="16">
        <v>2.0446557317527425E-2</v>
      </c>
      <c r="AM73" s="16">
        <v>4.4625747367419422E-3</v>
      </c>
      <c r="AN73" s="16">
        <v>5.7054569997540994E-2</v>
      </c>
      <c r="AO73" s="16">
        <v>1.2915819027188635E-2</v>
      </c>
      <c r="AP73" s="16">
        <v>3.0717337513165188E-2</v>
      </c>
      <c r="AQ73" s="16">
        <v>2.4792277541900276E-2</v>
      </c>
      <c r="AR73" s="16">
        <v>1.7154636236151655E-2</v>
      </c>
      <c r="AS73" s="16">
        <v>2.4019460279939508E-2</v>
      </c>
      <c r="AT73" s="16">
        <v>3.9463901089444642E-2</v>
      </c>
      <c r="AU73" s="16">
        <v>5.5714642226414757E-2</v>
      </c>
      <c r="AV73" s="16">
        <v>2.684625543228325E-2</v>
      </c>
      <c r="AW73" s="16">
        <v>3.4064408849901251E-2</v>
      </c>
      <c r="AX73" s="16">
        <v>8.0177487486537968E-3</v>
      </c>
      <c r="AY73" s="16">
        <v>2.033285493805348E-2</v>
      </c>
      <c r="AZ73" s="16">
        <v>2.1637125814350622E-2</v>
      </c>
      <c r="BA73" s="16">
        <v>3.3484922974082232E-2</v>
      </c>
      <c r="BB73" s="16">
        <v>1.5730425329758213E-2</v>
      </c>
      <c r="BC73" s="16">
        <v>3.3245037968542945E-2</v>
      </c>
      <c r="BD73" s="16">
        <v>1.8195142685124899E-2</v>
      </c>
      <c r="BE73" s="16">
        <v>3.2815627563876681E-2</v>
      </c>
      <c r="BF73" s="16">
        <v>5.8888262814532633E-3</v>
      </c>
      <c r="BG73" s="16">
        <v>3.3812910198334878E-2</v>
      </c>
      <c r="BH73" s="16">
        <v>3.2290852624402344E-2</v>
      </c>
      <c r="BI73" s="16">
        <v>2.7756349464712171E-2</v>
      </c>
      <c r="BJ73" s="16">
        <v>3.3947164902863647E-2</v>
      </c>
      <c r="BK73" s="16">
        <v>2.489675239395428E-2</v>
      </c>
      <c r="BL73" s="16">
        <v>3.773545160102354E-2</v>
      </c>
      <c r="BM73" s="16">
        <v>3.3456618851295028E-2</v>
      </c>
      <c r="BN73" s="16">
        <v>1.6697237236140139E-2</v>
      </c>
      <c r="BO73" s="16">
        <v>2.8315803081933044E-2</v>
      </c>
      <c r="BP73" s="16">
        <v>6.6569385701710893E-2</v>
      </c>
      <c r="BQ73" s="16">
        <v>2.7231058368895722E-2</v>
      </c>
      <c r="BR73" s="16">
        <v>1.6023678248843432E-2</v>
      </c>
      <c r="BS73" s="16">
        <v>2.4798545954499818E-2</v>
      </c>
      <c r="BT73" s="16">
        <v>4.3060692643551057E-2</v>
      </c>
      <c r="BU73" s="16">
        <v>3.6637308168602223E-3</v>
      </c>
      <c r="BV73" s="16">
        <v>7.7893391945250134E-2</v>
      </c>
      <c r="BW73" s="16">
        <v>2.5313056918099264E-2</v>
      </c>
      <c r="BX73" s="16">
        <v>4.1335979775869447E-2</v>
      </c>
      <c r="BY73" s="16">
        <v>4.9558330855219657E-2</v>
      </c>
      <c r="BZ73" s="16">
        <v>1.5988455745750363E-2</v>
      </c>
      <c r="CA73" s="16">
        <v>1.0013520358709282E-3</v>
      </c>
      <c r="CB73" s="16">
        <v>7.2466475336929848E-2</v>
      </c>
      <c r="CC73" s="16">
        <v>2.6860864369892434E-2</v>
      </c>
      <c r="CD73" s="16">
        <v>4.1273635156235611E-2</v>
      </c>
      <c r="CE73" s="16">
        <v>3.0537965630000552E-2</v>
      </c>
      <c r="CF73" s="16">
        <v>2.2320391909990467E-2</v>
      </c>
      <c r="CG73" s="16">
        <v>2.3930723762085382E-2</v>
      </c>
      <c r="CH73" s="16">
        <v>5.530639770532475E-3</v>
      </c>
      <c r="CI73" s="16">
        <v>1.1119859268834631E-2</v>
      </c>
      <c r="CJ73" s="16">
        <v>4.7342660602752051E-2</v>
      </c>
      <c r="CK73" s="16">
        <v>9.0725152335908721E-3</v>
      </c>
      <c r="CL73" s="16">
        <v>1.8336691555437268E-2</v>
      </c>
      <c r="CM73" s="16">
        <v>8.6825656524404105E-3</v>
      </c>
      <c r="CN73" s="16">
        <v>3.3932934208977472E-2</v>
      </c>
      <c r="CO73" s="16">
        <v>4.6393086938787187E-2</v>
      </c>
      <c r="CP73" s="16">
        <v>9.7823552765019528E-3</v>
      </c>
      <c r="CQ73" s="16">
        <v>2.301462560772094E-2</v>
      </c>
      <c r="CR73" s="16">
        <v>1.7188788420387957E-2</v>
      </c>
      <c r="CS73" s="16">
        <v>5.0304151856974677E-3</v>
      </c>
      <c r="CT73" s="16">
        <v>3.2193308544692156E-2</v>
      </c>
      <c r="CU73" s="16">
        <v>4.1283586005085304E-3</v>
      </c>
      <c r="CV73" s="16">
        <v>3.347094244425497E-2</v>
      </c>
      <c r="CW73" s="16">
        <v>3.756367230135782E-2</v>
      </c>
      <c r="CX73" s="16">
        <v>1.143773674813342E-2</v>
      </c>
      <c r="CY73" s="16">
        <v>5.606796871090769E-2</v>
      </c>
      <c r="CZ73" s="16">
        <v>5.6945579666125568E-3</v>
      </c>
      <c r="DA73" s="16">
        <v>2.8990682640994359E-2</v>
      </c>
      <c r="DB73" s="16">
        <v>3.6900621434488468E-2</v>
      </c>
      <c r="DC73" s="16">
        <v>1.6232902254027737E-2</v>
      </c>
      <c r="DD73" s="16">
        <v>2.128078399471911E-2</v>
      </c>
      <c r="DE73" s="16">
        <v>2.718039082959478E-2</v>
      </c>
      <c r="DF73" s="16">
        <v>1.9085000615024605E-2</v>
      </c>
      <c r="DG73" s="16">
        <v>4.3862835743871842E-2</v>
      </c>
      <c r="DH73" s="16">
        <v>4.2619278289590223E-2</v>
      </c>
      <c r="DI73" s="16">
        <v>1.7958287207988644E-2</v>
      </c>
      <c r="DJ73" s="16">
        <v>1.2982341758435711E-2</v>
      </c>
      <c r="DK73" s="16">
        <v>1.6571834768070448E-2</v>
      </c>
      <c r="DL73" s="16">
        <v>9.6368749989553804E-3</v>
      </c>
      <c r="DM73" s="16">
        <v>1.1425162664148503E-2</v>
      </c>
      <c r="DN73" s="16">
        <v>4.5931988898095799E-3</v>
      </c>
    </row>
    <row r="74" spans="4:118" x14ac:dyDescent="0.2">
      <c r="D74" s="13">
        <v>66</v>
      </c>
      <c r="E74" s="14">
        <f>1-IFERROR(_xlfn.LOGNORM.DIST(D74,Parameter!$G$6,Parameter!$G$7,TRUE),0)</f>
        <v>2.4569440647960628E-2</v>
      </c>
      <c r="F74" s="15">
        <f t="shared" si="2"/>
        <v>6.1527005424008102E-2</v>
      </c>
      <c r="G74" s="15">
        <f t="shared" si="3"/>
        <v>4.2009802535706488E-3</v>
      </c>
      <c r="R74" s="14">
        <f ca="1">1-IFERROR(_xlfn.LOGNORM.DIST($D74,Parameter!$E$6,Parameter!$E$7,TRUE),0)</f>
        <v>2.3220108952901608E-2</v>
      </c>
      <c r="S74" s="16">
        <v>8.941717977387742E-3</v>
      </c>
      <c r="T74" s="16">
        <v>8.7516355358367992E-3</v>
      </c>
      <c r="U74" s="16">
        <v>2.8600263641076706E-2</v>
      </c>
      <c r="V74" s="16">
        <v>5.4818197751647535E-2</v>
      </c>
      <c r="W74" s="16">
        <v>1.6660555064488713E-2</v>
      </c>
      <c r="X74" s="16">
        <v>1.2631317385709551E-2</v>
      </c>
      <c r="Y74" s="16">
        <v>6.7173643312535836E-3</v>
      </c>
      <c r="Z74" s="16">
        <v>2.1225437295391281E-2</v>
      </c>
      <c r="AA74" s="16">
        <v>4.0906524425579183E-2</v>
      </c>
      <c r="AB74" s="16">
        <v>3.4073740612701853E-2</v>
      </c>
      <c r="AC74" s="16">
        <v>2.0759813891919277E-2</v>
      </c>
      <c r="AD74" s="16">
        <v>2.094766538463122E-2</v>
      </c>
      <c r="AE74" s="16">
        <v>2.3287455052136696E-2</v>
      </c>
      <c r="AF74" s="16">
        <v>3.1948456003154324E-2</v>
      </c>
      <c r="AG74" s="16">
        <v>1.8946801623478171E-2</v>
      </c>
      <c r="AH74" s="16">
        <v>3.2941500017182102E-2</v>
      </c>
      <c r="AI74" s="16">
        <v>8.9418961234952743E-3</v>
      </c>
      <c r="AJ74" s="16">
        <v>8.4294265913306132E-3</v>
      </c>
      <c r="AK74" s="16">
        <v>3.9199498268465027E-2</v>
      </c>
      <c r="AL74" s="16">
        <v>2.0195499604828582E-2</v>
      </c>
      <c r="AM74" s="16">
        <v>4.3715295944839472E-3</v>
      </c>
      <c r="AN74" s="16">
        <v>5.653092508294344E-2</v>
      </c>
      <c r="AO74" s="16">
        <v>1.2729360211381713E-2</v>
      </c>
      <c r="AP74" s="16">
        <v>3.0403647377497567E-2</v>
      </c>
      <c r="AQ74" s="16">
        <v>2.4523249686257409E-2</v>
      </c>
      <c r="AR74" s="16">
        <v>1.6899382030953758E-2</v>
      </c>
      <c r="AS74" s="16">
        <v>2.3724137348096086E-2</v>
      </c>
      <c r="AT74" s="16">
        <v>3.905963670834478E-2</v>
      </c>
      <c r="AU74" s="16">
        <v>5.5197739675369673E-2</v>
      </c>
      <c r="AV74" s="16">
        <v>2.6500124302236583E-2</v>
      </c>
      <c r="AW74" s="16">
        <v>3.373217377057236E-2</v>
      </c>
      <c r="AX74" s="16">
        <v>7.8827004257682187E-3</v>
      </c>
      <c r="AY74" s="16">
        <v>2.0035652290509853E-2</v>
      </c>
      <c r="AZ74" s="16">
        <v>2.1371550469197031E-2</v>
      </c>
      <c r="BA74" s="16">
        <v>3.3051936296888185E-2</v>
      </c>
      <c r="BB74" s="16">
        <v>1.5503627966667821E-2</v>
      </c>
      <c r="BC74" s="16">
        <v>3.2829511584205995E-2</v>
      </c>
      <c r="BD74" s="16">
        <v>1.7983126800429572E-2</v>
      </c>
      <c r="BE74" s="16">
        <v>3.244703381245595E-2</v>
      </c>
      <c r="BF74" s="16">
        <v>5.7777622983016252E-3</v>
      </c>
      <c r="BG74" s="16">
        <v>3.3390172245201355E-2</v>
      </c>
      <c r="BH74" s="16">
        <v>3.1945365336731757E-2</v>
      </c>
      <c r="BI74" s="16">
        <v>2.7452308024244587E-2</v>
      </c>
      <c r="BJ74" s="16">
        <v>3.3574062171402241E-2</v>
      </c>
      <c r="BK74" s="16">
        <v>2.4616231149641732E-2</v>
      </c>
      <c r="BL74" s="16">
        <v>3.7290883616995951E-2</v>
      </c>
      <c r="BM74" s="16">
        <v>3.30880512505205E-2</v>
      </c>
      <c r="BN74" s="16">
        <v>1.6452001591787835E-2</v>
      </c>
      <c r="BO74" s="16">
        <v>2.7995353660066224E-2</v>
      </c>
      <c r="BP74" s="16">
        <v>6.6047268589733421E-2</v>
      </c>
      <c r="BQ74" s="16">
        <v>2.6936352926789642E-2</v>
      </c>
      <c r="BR74" s="16">
        <v>1.5792478628012696E-2</v>
      </c>
      <c r="BS74" s="16">
        <v>2.4527850685275299E-2</v>
      </c>
      <c r="BT74" s="16">
        <v>4.2568464453041632E-2</v>
      </c>
      <c r="BU74" s="16">
        <v>3.5875737199654312E-3</v>
      </c>
      <c r="BV74" s="16">
        <v>7.7297774755206494E-2</v>
      </c>
      <c r="BW74" s="16">
        <v>2.5001102189405211E-2</v>
      </c>
      <c r="BX74" s="16">
        <v>4.0861651181453573E-2</v>
      </c>
      <c r="BY74" s="16">
        <v>4.9108027566161505E-2</v>
      </c>
      <c r="BZ74" s="16">
        <v>1.5741782528090664E-2</v>
      </c>
      <c r="CA74" s="16">
        <v>9.7481233121232691E-4</v>
      </c>
      <c r="CB74" s="16">
        <v>7.1814332551568993E-2</v>
      </c>
      <c r="CC74" s="16">
        <v>2.6511405313535241E-2</v>
      </c>
      <c r="CD74" s="16">
        <v>4.0852839586852152E-2</v>
      </c>
      <c r="CE74" s="16">
        <v>3.020375537559139E-2</v>
      </c>
      <c r="CF74" s="16">
        <v>2.2046046580246337E-2</v>
      </c>
      <c r="CG74" s="16">
        <v>2.3621826651946343E-2</v>
      </c>
      <c r="CH74" s="16">
        <v>5.4289714961818225E-3</v>
      </c>
      <c r="CI74" s="16">
        <v>1.0973328740540467E-2</v>
      </c>
      <c r="CJ74" s="16">
        <v>4.6884189317805913E-2</v>
      </c>
      <c r="CK74" s="16">
        <v>8.9219064734348263E-3</v>
      </c>
      <c r="CL74" s="16">
        <v>1.8077762432035405E-2</v>
      </c>
      <c r="CM74" s="16">
        <v>8.5476774697041957E-3</v>
      </c>
      <c r="CN74" s="16">
        <v>3.358096805063937E-2</v>
      </c>
      <c r="CO74" s="16">
        <v>4.5928233075856584E-2</v>
      </c>
      <c r="CP74" s="16">
        <v>9.6213740811083026E-3</v>
      </c>
      <c r="CQ74" s="16">
        <v>2.2729407906767807E-2</v>
      </c>
      <c r="CR74" s="16">
        <v>1.695984347671653E-2</v>
      </c>
      <c r="CS74" s="16">
        <v>4.9390669917768193E-3</v>
      </c>
      <c r="CT74" s="16">
        <v>3.1746801303237704E-2</v>
      </c>
      <c r="CU74" s="16">
        <v>4.0466737070300463E-3</v>
      </c>
      <c r="CV74" s="16">
        <v>3.3118494211285876E-2</v>
      </c>
      <c r="CW74" s="16">
        <v>3.7169873121627228E-2</v>
      </c>
      <c r="CX74" s="16">
        <v>1.1282166041148289E-2</v>
      </c>
      <c r="CY74" s="16">
        <v>5.5533161419532351E-2</v>
      </c>
      <c r="CZ74" s="16">
        <v>5.5824826610308964E-3</v>
      </c>
      <c r="DA74" s="16">
        <v>2.8695044733639929E-2</v>
      </c>
      <c r="DB74" s="16">
        <v>3.6423879021435956E-2</v>
      </c>
      <c r="DC74" s="16">
        <v>1.5979558571209029E-2</v>
      </c>
      <c r="DD74" s="16">
        <v>2.0959269633021194E-2</v>
      </c>
      <c r="DE74" s="16">
        <v>2.6850283525526208E-2</v>
      </c>
      <c r="DF74" s="16">
        <v>1.885007967922292E-2</v>
      </c>
      <c r="DG74" s="16">
        <v>4.344932369119614E-2</v>
      </c>
      <c r="DH74" s="16">
        <v>4.2181618356322281E-2</v>
      </c>
      <c r="DI74" s="16">
        <v>1.7716724007397211E-2</v>
      </c>
      <c r="DJ74" s="16">
        <v>1.2783474268721506E-2</v>
      </c>
      <c r="DK74" s="16">
        <v>1.6357854278998274E-2</v>
      </c>
      <c r="DL74" s="16">
        <v>9.4970368353586299E-3</v>
      </c>
      <c r="DM74" s="16">
        <v>1.1249957852885961E-2</v>
      </c>
      <c r="DN74" s="16">
        <v>4.5044803348659457E-3</v>
      </c>
    </row>
    <row r="75" spans="4:118" x14ac:dyDescent="0.2">
      <c r="D75" s="13">
        <v>67</v>
      </c>
      <c r="E75" s="14">
        <f>1-IFERROR(_xlfn.LOGNORM.DIST(D75,Parameter!$G$6,Parameter!$G$7,TRUE),0)</f>
        <v>2.427335288171184E-2</v>
      </c>
      <c r="F75" s="15">
        <f t="shared" si="2"/>
        <v>6.1015418363867792E-2</v>
      </c>
      <c r="G75" s="15">
        <f t="shared" si="3"/>
        <v>4.1176611228246843E-3</v>
      </c>
      <c r="R75" s="14">
        <f ca="1">1-IFERROR(_xlfn.LOGNORM.DIST($D75,Parameter!$E$6,Parameter!$E$7,TRUE),0)</f>
        <v>2.2921789818368898E-2</v>
      </c>
      <c r="S75" s="16">
        <v>8.8123517110072491E-3</v>
      </c>
      <c r="T75" s="16">
        <v>8.6141389244621669E-3</v>
      </c>
      <c r="U75" s="16">
        <v>2.8233617853872683E-2</v>
      </c>
      <c r="V75" s="16">
        <v>5.4310295080480242E-2</v>
      </c>
      <c r="W75" s="16">
        <v>1.6450827591984019E-2</v>
      </c>
      <c r="X75" s="16">
        <v>1.2432432512075375E-2</v>
      </c>
      <c r="Y75" s="16">
        <v>6.6047980067519552E-3</v>
      </c>
      <c r="Z75" s="16">
        <v>2.0985423474516818E-2</v>
      </c>
      <c r="AA75" s="16">
        <v>4.0498709837903046E-2</v>
      </c>
      <c r="AB75" s="16">
        <v>3.3657582752533499E-2</v>
      </c>
      <c r="AC75" s="16">
        <v>2.0495481597303078E-2</v>
      </c>
      <c r="AD75" s="16">
        <v>2.068396799322092E-2</v>
      </c>
      <c r="AE75" s="16">
        <v>2.3004165166473189E-2</v>
      </c>
      <c r="AF75" s="16">
        <v>3.1586981015946258E-2</v>
      </c>
      <c r="AG75" s="16">
        <v>1.8642362671964396E-2</v>
      </c>
      <c r="AH75" s="16">
        <v>3.2608551620546766E-2</v>
      </c>
      <c r="AI75" s="16">
        <v>8.8059147703417606E-3</v>
      </c>
      <c r="AJ75" s="16">
        <v>8.2904843002900019E-3</v>
      </c>
      <c r="AK75" s="16">
        <v>3.883878033864141E-2</v>
      </c>
      <c r="AL75" s="16">
        <v>1.9950777446999579E-2</v>
      </c>
      <c r="AM75" s="16">
        <v>4.2834798658301088E-3</v>
      </c>
      <c r="AN75" s="16">
        <v>5.6018864235568344E-2</v>
      </c>
      <c r="AO75" s="16">
        <v>1.2547986754900542E-2</v>
      </c>
      <c r="AP75" s="16">
        <v>3.0097273822785375E-2</v>
      </c>
      <c r="AQ75" s="16">
        <v>2.4260666924025287E-2</v>
      </c>
      <c r="AR75" s="16">
        <v>1.6651148263636228E-2</v>
      </c>
      <c r="AS75" s="16">
        <v>2.3436246066364852E-2</v>
      </c>
      <c r="AT75" s="16">
        <v>3.866475392036206E-2</v>
      </c>
      <c r="AU75" s="16">
        <v>5.4692320750790335E-2</v>
      </c>
      <c r="AV75" s="16">
        <v>2.6162851435304391E-2</v>
      </c>
      <c r="AW75" s="16">
        <v>3.340754590348971E-2</v>
      </c>
      <c r="AX75" s="16">
        <v>7.7516429697305211E-3</v>
      </c>
      <c r="AY75" s="16">
        <v>1.9746529513448019E-2</v>
      </c>
      <c r="AZ75" s="16">
        <v>2.1112668344684393E-2</v>
      </c>
      <c r="BA75" s="16">
        <v>3.262998123459615E-2</v>
      </c>
      <c r="BB75" s="16">
        <v>1.5282990680808406E-2</v>
      </c>
      <c r="BC75" s="16">
        <v>3.2424428645359105E-2</v>
      </c>
      <c r="BD75" s="16">
        <v>1.7776362109825028E-2</v>
      </c>
      <c r="BE75" s="16">
        <v>3.2087328726794206E-2</v>
      </c>
      <c r="BF75" s="16">
        <v>5.6701895858548568E-3</v>
      </c>
      <c r="BG75" s="16">
        <v>3.2978055272176898E-2</v>
      </c>
      <c r="BH75" s="16">
        <v>3.1608063479676485E-2</v>
      </c>
      <c r="BI75" s="16">
        <v>2.7155558510411293E-2</v>
      </c>
      <c r="BJ75" s="16">
        <v>3.3209876255439474E-2</v>
      </c>
      <c r="BK75" s="16">
        <v>2.4342525917134372E-2</v>
      </c>
      <c r="BL75" s="16">
        <v>3.6857193147383116E-2</v>
      </c>
      <c r="BM75" s="16">
        <v>3.2728302935379316E-2</v>
      </c>
      <c r="BN75" s="16">
        <v>1.6213474788336013E-2</v>
      </c>
      <c r="BO75" s="16">
        <v>2.7682681393964348E-2</v>
      </c>
      <c r="BP75" s="16">
        <v>6.553611019423411E-2</v>
      </c>
      <c r="BQ75" s="16">
        <v>2.6648686714640601E-2</v>
      </c>
      <c r="BR75" s="16">
        <v>1.5567558572083029E-2</v>
      </c>
      <c r="BS75" s="16">
        <v>2.4263654805615542E-2</v>
      </c>
      <c r="BT75" s="16">
        <v>4.2088096074923143E-2</v>
      </c>
      <c r="BU75" s="16">
        <v>3.513954040781031E-3</v>
      </c>
      <c r="BV75" s="16">
        <v>7.6714502987465405E-2</v>
      </c>
      <c r="BW75" s="16">
        <v>2.4696995893337848E-2</v>
      </c>
      <c r="BX75" s="16">
        <v>4.0398781711798226E-2</v>
      </c>
      <c r="BY75" s="16">
        <v>4.866769671026494E-2</v>
      </c>
      <c r="BZ75" s="16">
        <v>1.5502017220816344E-2</v>
      </c>
      <c r="CA75" s="16">
        <v>9.4930448250751809E-4</v>
      </c>
      <c r="CB75" s="16">
        <v>7.1176406220946009E-2</v>
      </c>
      <c r="CC75" s="16">
        <v>2.6170923106050736E-2</v>
      </c>
      <c r="CD75" s="16">
        <v>4.0441781077880656E-2</v>
      </c>
      <c r="CE75" s="16">
        <v>2.9877540426358595E-2</v>
      </c>
      <c r="CF75" s="16">
        <v>2.1778614954044984E-2</v>
      </c>
      <c r="CG75" s="16">
        <v>2.3320859782438363E-2</v>
      </c>
      <c r="CH75" s="16">
        <v>5.3304594606987665E-3</v>
      </c>
      <c r="CI75" s="16">
        <v>1.0830646882240225E-2</v>
      </c>
      <c r="CJ75" s="16">
        <v>4.6436100450761297E-2</v>
      </c>
      <c r="CK75" s="16">
        <v>8.7757085622390818E-3</v>
      </c>
      <c r="CL75" s="16">
        <v>1.7825780553520243E-2</v>
      </c>
      <c r="CM75" s="16">
        <v>8.4166186114073005E-3</v>
      </c>
      <c r="CN75" s="16">
        <v>3.323723774758347E-2</v>
      </c>
      <c r="CO75" s="16">
        <v>4.5474035546259839E-2</v>
      </c>
      <c r="CP75" s="16">
        <v>9.4650819745860648E-3</v>
      </c>
      <c r="CQ75" s="16">
        <v>2.2451397252101435E-2</v>
      </c>
      <c r="CR75" s="16">
        <v>1.6736895127226981E-2</v>
      </c>
      <c r="CS75" s="16">
        <v>4.8505402417219345E-3</v>
      </c>
      <c r="CT75" s="16">
        <v>3.1312022788033356E-2</v>
      </c>
      <c r="CU75" s="16">
        <v>3.9676346410578711E-3</v>
      </c>
      <c r="CV75" s="16">
        <v>3.2774340781476341E-2</v>
      </c>
      <c r="CW75" s="16">
        <v>3.6785300240744001E-2</v>
      </c>
      <c r="CX75" s="16">
        <v>1.1130735990864005E-2</v>
      </c>
      <c r="CY75" s="16">
        <v>5.5010341318992517E-2</v>
      </c>
      <c r="CZ75" s="16">
        <v>5.474012302885245E-3</v>
      </c>
      <c r="DA75" s="16">
        <v>2.8406307735760694E-2</v>
      </c>
      <c r="DB75" s="16">
        <v>3.5959245232760395E-2</v>
      </c>
      <c r="DC75" s="16">
        <v>1.5733345581389946E-2</v>
      </c>
      <c r="DD75" s="16">
        <v>2.0646618684831863E-2</v>
      </c>
      <c r="DE75" s="16">
        <v>2.6528419337844777E-2</v>
      </c>
      <c r="DF75" s="16">
        <v>1.8621101037588184E-2</v>
      </c>
      <c r="DG75" s="16">
        <v>4.3045112119004081E-2</v>
      </c>
      <c r="DH75" s="16">
        <v>4.1754102384737424E-2</v>
      </c>
      <c r="DI75" s="16">
        <v>1.7481509294279052E-2</v>
      </c>
      <c r="DJ75" s="16">
        <v>1.259017909235971E-2</v>
      </c>
      <c r="DK75" s="16">
        <v>1.6149409021966932E-2</v>
      </c>
      <c r="DL75" s="16">
        <v>9.361039266404636E-3</v>
      </c>
      <c r="DM75" s="16">
        <v>1.1079675569206526E-2</v>
      </c>
      <c r="DN75" s="16">
        <v>4.4185950085470216E-3</v>
      </c>
    </row>
    <row r="76" spans="4:118" x14ac:dyDescent="0.2">
      <c r="D76" s="13">
        <v>68</v>
      </c>
      <c r="E76" s="14">
        <f>1-IFERROR(_xlfn.LOGNORM.DIST(D76,Parameter!$G$6,Parameter!$G$7,TRUE),0)</f>
        <v>2.3984587719969697E-2</v>
      </c>
      <c r="F76" s="15">
        <f t="shared" si="2"/>
        <v>6.0514690927940915E-2</v>
      </c>
      <c r="G76" s="15">
        <f t="shared" si="3"/>
        <v>4.0370258223936997E-3</v>
      </c>
      <c r="R76" s="14">
        <f ca="1">1-IFERROR(_xlfn.LOGNORM.DIST($D76,Parameter!$E$6,Parameter!$E$7,TRUE),0)</f>
        <v>2.2631054147974727E-2</v>
      </c>
      <c r="S76" s="16">
        <v>8.6865092550432177E-3</v>
      </c>
      <c r="T76" s="16">
        <v>8.4805360013280318E-3</v>
      </c>
      <c r="U76" s="16">
        <v>2.7876238431310152E-2</v>
      </c>
      <c r="V76" s="16">
        <v>5.3813565071640479E-2</v>
      </c>
      <c r="W76" s="16">
        <v>1.6246421701726965E-2</v>
      </c>
      <c r="X76" s="16">
        <v>1.2239151963802986E-2</v>
      </c>
      <c r="Y76" s="16">
        <v>6.4955335873456699E-3</v>
      </c>
      <c r="Z76" s="16">
        <v>2.0751215623091346E-2</v>
      </c>
      <c r="AA76" s="16">
        <v>4.0100171037447119E-2</v>
      </c>
      <c r="AB76" s="16">
        <v>3.3251689815461005E-2</v>
      </c>
      <c r="AC76" s="16">
        <v>2.0237859756308096E-2</v>
      </c>
      <c r="AD76" s="16">
        <v>2.0426931985968455E-2</v>
      </c>
      <c r="AE76" s="16">
        <v>2.2727916225549483E-2</v>
      </c>
      <c r="AF76" s="16">
        <v>3.1234173479241178E-2</v>
      </c>
      <c r="AG76" s="16">
        <v>1.8346516025245396E-2</v>
      </c>
      <c r="AH76" s="16">
        <v>3.2283254897834457E-2</v>
      </c>
      <c r="AI76" s="16">
        <v>8.6737239754849371E-3</v>
      </c>
      <c r="AJ76" s="16">
        <v>8.1555713661333185E-3</v>
      </c>
      <c r="AK76" s="16">
        <v>3.8486054921539892E-2</v>
      </c>
      <c r="AL76" s="16">
        <v>1.9712145947296533E-2</v>
      </c>
      <c r="AM76" s="16">
        <v>4.1982885245478441E-3</v>
      </c>
      <c r="AN76" s="16">
        <v>5.5517974117960889E-2</v>
      </c>
      <c r="AO76" s="16">
        <v>1.2371492523893579E-2</v>
      </c>
      <c r="AP76" s="16">
        <v>2.9797946703333467E-2</v>
      </c>
      <c r="AQ76" s="16">
        <v>2.4004287418491366E-2</v>
      </c>
      <c r="AR76" s="16">
        <v>1.6409649828061923E-2</v>
      </c>
      <c r="AS76" s="16">
        <v>2.3155500090166981E-2</v>
      </c>
      <c r="AT76" s="16">
        <v>3.8278908224858466E-2</v>
      </c>
      <c r="AU76" s="16">
        <v>5.4197974713498853E-2</v>
      </c>
      <c r="AV76" s="16">
        <v>2.5834092885368976E-2</v>
      </c>
      <c r="AW76" s="16">
        <v>3.3090247326212241E-2</v>
      </c>
      <c r="AX76" s="16">
        <v>7.6244061848603772E-3</v>
      </c>
      <c r="AY76" s="16">
        <v>1.9465161250526219E-2</v>
      </c>
      <c r="AZ76" s="16">
        <v>2.0860221048291328E-2</v>
      </c>
      <c r="BA76" s="16">
        <v>3.2218631800773223E-2</v>
      </c>
      <c r="BB76" s="16">
        <v>1.5068264829943612E-2</v>
      </c>
      <c r="BC76" s="16">
        <v>3.2029388697209726E-2</v>
      </c>
      <c r="BD76" s="16">
        <v>1.7574647466513493E-2</v>
      </c>
      <c r="BE76" s="16">
        <v>3.1736178658564929E-2</v>
      </c>
      <c r="BF76" s="16">
        <v>5.5659532122344091E-3</v>
      </c>
      <c r="BG76" s="16">
        <v>3.2576152193177221E-2</v>
      </c>
      <c r="BH76" s="16">
        <v>3.1278642538780543E-2</v>
      </c>
      <c r="BI76" s="16">
        <v>2.6865827463993908E-2</v>
      </c>
      <c r="BJ76" s="16">
        <v>3.2854274142466111E-2</v>
      </c>
      <c r="BK76" s="16">
        <v>2.4075379033954181E-2</v>
      </c>
      <c r="BL76" s="16">
        <v>3.6433969615627282E-2</v>
      </c>
      <c r="BM76" s="16">
        <v>3.2377044266947652E-2</v>
      </c>
      <c r="BN76" s="16">
        <v>1.5981385111192625E-2</v>
      </c>
      <c r="BO76" s="16">
        <v>2.7377492870819142E-2</v>
      </c>
      <c r="BP76" s="16">
        <v>6.5035529946494419E-2</v>
      </c>
      <c r="BQ76" s="16">
        <v>2.6367796261704379E-2</v>
      </c>
      <c r="BR76" s="16">
        <v>1.534866466612228E-2</v>
      </c>
      <c r="BS76" s="16">
        <v>2.400571415698316E-2</v>
      </c>
      <c r="BT76" s="16">
        <v>4.1619144253290385E-2</v>
      </c>
      <c r="BU76" s="16">
        <v>3.442754609137455E-3</v>
      </c>
      <c r="BV76" s="16">
        <v>7.6143151399836517E-2</v>
      </c>
      <c r="BW76" s="16">
        <v>2.4400435843029311E-2</v>
      </c>
      <c r="BX76" s="16">
        <v>3.9946942228553217E-2</v>
      </c>
      <c r="BY76" s="16">
        <v>4.8236981552053693E-2</v>
      </c>
      <c r="BZ76" s="16">
        <v>1.5268876191312675E-2</v>
      </c>
      <c r="CA76" s="16">
        <v>9.2477535494361884E-4</v>
      </c>
      <c r="CB76" s="16">
        <v>7.0552194632242049E-2</v>
      </c>
      <c r="CC76" s="16">
        <v>2.583906850388562E-2</v>
      </c>
      <c r="CD76" s="16">
        <v>4.0040102803477362E-2</v>
      </c>
      <c r="CE76" s="16">
        <v>2.9559021653248863E-2</v>
      </c>
      <c r="CF76" s="16">
        <v>2.1517830224993761E-2</v>
      </c>
      <c r="CG76" s="16">
        <v>2.3027514281163453E-2</v>
      </c>
      <c r="CH76" s="16">
        <v>5.2349645965329428E-3</v>
      </c>
      <c r="CI76" s="16">
        <v>1.0691660797766067E-2</v>
      </c>
      <c r="CJ76" s="16">
        <v>4.5998018284450382E-2</v>
      </c>
      <c r="CK76" s="16">
        <v>8.6337345898855888E-3</v>
      </c>
      <c r="CL76" s="16">
        <v>1.7580467871709082E-2</v>
      </c>
      <c r="CM76" s="16">
        <v>8.2892296915885177E-3</v>
      </c>
      <c r="CN76" s="16">
        <v>3.2901439037856361E-2</v>
      </c>
      <c r="CO76" s="16">
        <v>4.5030106279294047E-2</v>
      </c>
      <c r="CP76" s="16">
        <v>9.3132810232182672E-3</v>
      </c>
      <c r="CQ76" s="16">
        <v>2.218031520531305E-2</v>
      </c>
      <c r="CR76" s="16">
        <v>1.6519706395823452E-2</v>
      </c>
      <c r="CS76" s="16">
        <v>4.7647109188823089E-3</v>
      </c>
      <c r="CT76" s="16">
        <v>3.0888512467766471E-2</v>
      </c>
      <c r="CU76" s="16">
        <v>3.8911214728256649E-3</v>
      </c>
      <c r="CV76" s="16">
        <v>3.2438174758476768E-2</v>
      </c>
      <c r="CW76" s="16">
        <v>3.6409613006660235E-2</v>
      </c>
      <c r="CX76" s="16">
        <v>1.0983280896708636E-2</v>
      </c>
      <c r="CY76" s="16">
        <v>5.4499077872694035E-2</v>
      </c>
      <c r="CZ76" s="16">
        <v>5.3689845972837436E-3</v>
      </c>
      <c r="DA76" s="16">
        <v>2.8124216596963958E-2</v>
      </c>
      <c r="DB76" s="16">
        <v>3.5506253981580582E-2</v>
      </c>
      <c r="DC76" s="16">
        <v>1.5493969714348688E-2</v>
      </c>
      <c r="DD76" s="16">
        <v>2.0342471686969676E-2</v>
      </c>
      <c r="DE76" s="16">
        <v>2.6214482412888263E-2</v>
      </c>
      <c r="DF76" s="16">
        <v>1.839783454707955E-2</v>
      </c>
      <c r="DG76" s="16">
        <v>4.2649865260292574E-2</v>
      </c>
      <c r="DH76" s="16">
        <v>4.1336358492618963E-2</v>
      </c>
      <c r="DI76" s="16">
        <v>1.7252391827625169E-2</v>
      </c>
      <c r="DJ76" s="16">
        <v>1.2402226858229115E-2</v>
      </c>
      <c r="DK76" s="16">
        <v>1.5946281680615737E-2</v>
      </c>
      <c r="DL76" s="16">
        <v>9.2287256077163704E-3</v>
      </c>
      <c r="DM76" s="16">
        <v>1.0914112629556771E-2</v>
      </c>
      <c r="DN76" s="16">
        <v>4.3354157101731516E-3</v>
      </c>
    </row>
    <row r="77" spans="4:118" x14ac:dyDescent="0.2">
      <c r="D77" s="13">
        <v>69</v>
      </c>
      <c r="E77" s="14">
        <f>1-IFERROR(_xlfn.LOGNORM.DIST(D77,Parameter!$G$6,Parameter!$G$7,TRUE),0)</f>
        <v>2.3702867567664931E-2</v>
      </c>
      <c r="F77" s="15">
        <f t="shared" si="2"/>
        <v>6.0024446297406685E-2</v>
      </c>
      <c r="G77" s="15">
        <f t="shared" si="3"/>
        <v>3.9589537823247842E-3</v>
      </c>
      <c r="R77" s="14">
        <f ca="1">1-IFERROR(_xlfn.LOGNORM.DIST($D77,Parameter!$E$6,Parameter!$E$7,TRUE),0)</f>
        <v>2.2347609982154237E-2</v>
      </c>
      <c r="S77" s="16">
        <v>8.5640483157064518E-3</v>
      </c>
      <c r="T77" s="16">
        <v>8.3506659056716837E-3</v>
      </c>
      <c r="U77" s="16">
        <v>2.7527770675900065E-2</v>
      </c>
      <c r="V77" s="16">
        <v>5.3327612883682707E-2</v>
      </c>
      <c r="W77" s="16">
        <v>1.6047132016809296E-2</v>
      </c>
      <c r="X77" s="16">
        <v>1.2051245646495845E-2</v>
      </c>
      <c r="Y77" s="16">
        <v>6.389431491266695E-3</v>
      </c>
      <c r="Z77" s="16">
        <v>2.0522595909914898E-2</v>
      </c>
      <c r="AA77" s="16">
        <v>3.9710573402159111E-2</v>
      </c>
      <c r="AB77" s="16">
        <v>3.2855674847182215E-2</v>
      </c>
      <c r="AC77" s="16">
        <v>1.9986689883292774E-2</v>
      </c>
      <c r="AD77" s="16">
        <v>2.017630148055205E-2</v>
      </c>
      <c r="AE77" s="16">
        <v>2.245844044100731E-2</v>
      </c>
      <c r="AF77" s="16">
        <v>3.0889711145864363E-2</v>
      </c>
      <c r="AG77" s="16">
        <v>1.8058910274034057E-2</v>
      </c>
      <c r="AH77" s="16">
        <v>3.1965331641084505E-2</v>
      </c>
      <c r="AI77" s="16">
        <v>8.5451686037789631E-3</v>
      </c>
      <c r="AJ77" s="16">
        <v>8.0245189189692701E-3</v>
      </c>
      <c r="AK77" s="16">
        <v>3.8141037308206283E-2</v>
      </c>
      <c r="AL77" s="16">
        <v>1.9479372945635953E-2</v>
      </c>
      <c r="AM77" s="16">
        <v>4.11582657245535E-3</v>
      </c>
      <c r="AN77" s="16">
        <v>5.5027861718403237E-2</v>
      </c>
      <c r="AO77" s="16">
        <v>1.2199682464680062E-2</v>
      </c>
      <c r="AP77" s="16">
        <v>2.9505409494703927E-2</v>
      </c>
      <c r="AQ77" s="16">
        <v>2.3753881664650756E-2</v>
      </c>
      <c r="AR77" s="16">
        <v>1.6174616933080754E-2</v>
      </c>
      <c r="AS77" s="16">
        <v>2.2881627921818026E-2</v>
      </c>
      <c r="AT77" s="16">
        <v>3.7901772404104639E-2</v>
      </c>
      <c r="AU77" s="16">
        <v>5.3714311054715469E-2</v>
      </c>
      <c r="AV77" s="16">
        <v>2.5513522609281747E-2</v>
      </c>
      <c r="AW77" s="16">
        <v>3.278001403039621E-2</v>
      </c>
      <c r="AX77" s="16">
        <v>7.5008293579625906E-3</v>
      </c>
      <c r="AY77" s="16">
        <v>1.9191239506272995E-2</v>
      </c>
      <c r="AZ77" s="16">
        <v>2.0613963610585095E-2</v>
      </c>
      <c r="BA77" s="16">
        <v>3.1817484063384249E-2</v>
      </c>
      <c r="BB77" s="16">
        <v>1.4859215084492949E-2</v>
      </c>
      <c r="BC77" s="16">
        <v>3.1644011932382754E-2</v>
      </c>
      <c r="BD77" s="16">
        <v>1.7377792131838321E-2</v>
      </c>
      <c r="BE77" s="16">
        <v>3.1393266944977127E-2</v>
      </c>
      <c r="BF77" s="16">
        <v>5.4649071247078185E-3</v>
      </c>
      <c r="BG77" s="16">
        <v>3.2184076902551317E-2</v>
      </c>
      <c r="BH77" s="16">
        <v>3.0956813419788842E-2</v>
      </c>
      <c r="BI77" s="16">
        <v>2.6582855355697155E-2</v>
      </c>
      <c r="BJ77" s="16">
        <v>3.2506939716797856E-2</v>
      </c>
      <c r="BK77" s="16">
        <v>2.3814546036934336E-2</v>
      </c>
      <c r="BL77" s="16">
        <v>3.6020823391033741E-2</v>
      </c>
      <c r="BM77" s="16">
        <v>3.203396234207756E-2</v>
      </c>
      <c r="BN77" s="16">
        <v>1.5755475419250708E-2</v>
      </c>
      <c r="BO77" s="16">
        <v>2.7079509677565117E-2</v>
      </c>
      <c r="BP77" s="16">
        <v>6.4545165678409955E-2</v>
      </c>
      <c r="BQ77" s="16">
        <v>2.609343150385901E-2</v>
      </c>
      <c r="BR77" s="16">
        <v>1.5135557060008464E-2</v>
      </c>
      <c r="BS77" s="16">
        <v>2.3753797039976265E-2</v>
      </c>
      <c r="BT77" s="16">
        <v>4.1161188184318465E-2</v>
      </c>
      <c r="BU77" s="16">
        <v>3.3738651707755363E-3</v>
      </c>
      <c r="BV77" s="16">
        <v>7.5583315187204514E-2</v>
      </c>
      <c r="BW77" s="16">
        <v>2.4111135507121628E-2</v>
      </c>
      <c r="BX77" s="16">
        <v>3.950572536506336E-2</v>
      </c>
      <c r="BY77" s="16">
        <v>4.7815542945672806E-2</v>
      </c>
      <c r="BZ77" s="16">
        <v>1.5042091157298931E-2</v>
      </c>
      <c r="CA77" s="16">
        <v>9.0117521925214827E-4</v>
      </c>
      <c r="CB77" s="16">
        <v>6.9941220528993875E-2</v>
      </c>
      <c r="CC77" s="16">
        <v>2.5515510464210522E-2</v>
      </c>
      <c r="CD77" s="16">
        <v>3.9647465810917493E-2</v>
      </c>
      <c r="CE77" s="16">
        <v>2.9247915132993962E-2</v>
      </c>
      <c r="CF77" s="16">
        <v>2.1263439440922016E-2</v>
      </c>
      <c r="CG77" s="16">
        <v>2.2741497398622523E-2</v>
      </c>
      <c r="CH77" s="16">
        <v>5.1423557704930456E-3</v>
      </c>
      <c r="CI77" s="16">
        <v>1.0556225709026812E-2</v>
      </c>
      <c r="CJ77" s="16">
        <v>4.5569585760396603E-2</v>
      </c>
      <c r="CK77" s="16">
        <v>8.4958080090680177E-3</v>
      </c>
      <c r="CL77" s="16">
        <v>1.7341561130109651E-2</v>
      </c>
      <c r="CM77" s="16">
        <v>8.1653600595040787E-3</v>
      </c>
      <c r="CN77" s="16">
        <v>3.2573282996438357E-2</v>
      </c>
      <c r="CO77" s="16">
        <v>4.459607655129727E-2</v>
      </c>
      <c r="CP77" s="16">
        <v>9.1657842346312135E-3</v>
      </c>
      <c r="CQ77" s="16">
        <v>2.1915897793364003E-2</v>
      </c>
      <c r="CR77" s="16">
        <v>1.6308052817763374E-2</v>
      </c>
      <c r="CS77" s="16">
        <v>4.6814620740097679E-3</v>
      </c>
      <c r="CT77" s="16">
        <v>3.0475833902318228E-2</v>
      </c>
      <c r="CU77" s="16">
        <v>3.8170212579209384E-3</v>
      </c>
      <c r="CV77" s="16">
        <v>3.2109704271719886E-2</v>
      </c>
      <c r="CW77" s="16">
        <v>3.6042487919699329E-2</v>
      </c>
      <c r="CX77" s="16">
        <v>1.0839643896777273E-2</v>
      </c>
      <c r="CY77" s="16">
        <v>5.3998961798833456E-2</v>
      </c>
      <c r="CZ77" s="16">
        <v>5.2672466427589049E-3</v>
      </c>
      <c r="DA77" s="16">
        <v>2.7848529139240519E-2</v>
      </c>
      <c r="DB77" s="16">
        <v>3.5064463240586208E-2</v>
      </c>
      <c r="DC77" s="16">
        <v>1.5261153313389286E-2</v>
      </c>
      <c r="DD77" s="16">
        <v>2.0046488434733445E-2</v>
      </c>
      <c r="DE77" s="16">
        <v>2.5908173203309737E-2</v>
      </c>
      <c r="DF77" s="16">
        <v>1.8180062053590573E-2</v>
      </c>
      <c r="DG77" s="16">
        <v>4.2263264009507973E-2</v>
      </c>
      <c r="DH77" s="16">
        <v>4.0928033424367571E-2</v>
      </c>
      <c r="DI77" s="16">
        <v>1.7029133639257399E-2</v>
      </c>
      <c r="DJ77" s="16">
        <v>1.2219400646904632E-2</v>
      </c>
      <c r="DK77" s="16">
        <v>1.5748266366774955E-2</v>
      </c>
      <c r="DL77" s="16">
        <v>9.099947645428097E-3</v>
      </c>
      <c r="DM77" s="16">
        <v>1.0753076908795123E-2</v>
      </c>
      <c r="DN77" s="16">
        <v>4.2548225959363473E-3</v>
      </c>
    </row>
    <row r="78" spans="4:118" x14ac:dyDescent="0.2">
      <c r="D78" s="13">
        <v>70</v>
      </c>
      <c r="E78" s="14">
        <f>1-IFERROR(_xlfn.LOGNORM.DIST(D78,Parameter!$G$6,Parameter!$G$7,TRUE),0)</f>
        <v>2.3427929000216507E-2</v>
      </c>
      <c r="F78" s="15">
        <f t="shared" si="2"/>
        <v>5.9544325769554943E-2</v>
      </c>
      <c r="G78" s="15">
        <f t="shared" si="3"/>
        <v>3.8833313810914122E-3</v>
      </c>
      <c r="R78" s="14">
        <f ca="1">1-IFERROR(_xlfn.LOGNORM.DIST($D78,Parameter!$E$6,Parameter!$E$7,TRUE),0)</f>
        <v>2.2071180414679148E-2</v>
      </c>
      <c r="S78" s="16">
        <v>8.444834206057239E-3</v>
      </c>
      <c r="T78" s="16">
        <v>8.2243765073066744E-3</v>
      </c>
      <c r="U78" s="16">
        <v>2.7187878082237327E-2</v>
      </c>
      <c r="V78" s="16">
        <v>5.2852062875443528E-2</v>
      </c>
      <c r="W78" s="16">
        <v>1.5852763788545499E-2</v>
      </c>
      <c r="X78" s="16">
        <v>1.1868495876090068E-2</v>
      </c>
      <c r="Y78" s="16">
        <v>6.2863598391103004E-3</v>
      </c>
      <c r="Z78" s="16">
        <v>2.0299357561868736E-2</v>
      </c>
      <c r="AA78" s="16">
        <v>3.9329598821205902E-2</v>
      </c>
      <c r="AB78" s="16">
        <v>3.2469170525632363E-2</v>
      </c>
      <c r="AC78" s="16">
        <v>1.9741726835105555E-2</v>
      </c>
      <c r="AD78" s="16">
        <v>1.993183377895269E-2</v>
      </c>
      <c r="AE78" s="16">
        <v>2.2195483727128651E-2</v>
      </c>
      <c r="AF78" s="16">
        <v>3.055328799172019E-2</v>
      </c>
      <c r="AG78" s="16">
        <v>1.7779212854722948E-2</v>
      </c>
      <c r="AH78" s="16">
        <v>3.1654517456649378E-2</v>
      </c>
      <c r="AI78" s="16">
        <v>8.4201018870304623E-3</v>
      </c>
      <c r="AJ78" s="16">
        <v>7.897167343136724E-3</v>
      </c>
      <c r="AK78" s="16">
        <v>3.7803456736259844E-2</v>
      </c>
      <c r="AL78" s="16">
        <v>1.9252238188871118E-2</v>
      </c>
      <c r="AM78" s="16">
        <v>4.0359724671620301E-3</v>
      </c>
      <c r="AN78" s="16">
        <v>5.4548153081867667E-2</v>
      </c>
      <c r="AO78" s="16">
        <v>1.2032371863891833E-2</v>
      </c>
      <c r="AP78" s="16">
        <v>2.921941842635567E-2</v>
      </c>
      <c r="AQ78" s="16">
        <v>2.3509231697258159E-2</v>
      </c>
      <c r="AR78" s="16">
        <v>1.5945794081732911E-2</v>
      </c>
      <c r="AS78" s="16">
        <v>2.2614371946047318E-2</v>
      </c>
      <c r="AT78" s="16">
        <v>3.7533035427762651E-2</v>
      </c>
      <c r="AU78" s="16">
        <v>5.3240958231479452E-2</v>
      </c>
      <c r="AV78" s="16">
        <v>2.520083130154005E-2</v>
      </c>
      <c r="AW78" s="16">
        <v>3.2476595040407119E-2</v>
      </c>
      <c r="AX78" s="16">
        <v>7.3807606077544996E-3</v>
      </c>
      <c r="AY78" s="16">
        <v>1.8924472495259748E-2</v>
      </c>
      <c r="AZ78" s="16">
        <v>2.0373663611682802E-2</v>
      </c>
      <c r="BA78" s="16">
        <v>3.1426154716452825E-2</v>
      </c>
      <c r="BB78" s="16">
        <v>1.4655618541786541E-2</v>
      </c>
      <c r="BC78" s="16">
        <v>3.1267937857167527E-2</v>
      </c>
      <c r="BD78" s="16">
        <v>1.7185615099329588E-2</v>
      </c>
      <c r="BE78" s="16">
        <v>3.1058292820561717E-2</v>
      </c>
      <c r="BF78" s="16">
        <v>5.3669135273900492E-3</v>
      </c>
      <c r="BG78" s="16">
        <v>3.1801462920352908E-2</v>
      </c>
      <c r="BH78" s="16">
        <v>3.0642301464121502E-2</v>
      </c>
      <c r="BI78" s="16">
        <v>2.6306395692598294E-2</v>
      </c>
      <c r="BJ78" s="16">
        <v>3.2167572679626555E-2</v>
      </c>
      <c r="BK78" s="16">
        <v>2.3559794811900847E-2</v>
      </c>
      <c r="BL78" s="16">
        <v>3.5617384446176015E-2</v>
      </c>
      <c r="BM78" s="16">
        <v>3.169875992322857E-2</v>
      </c>
      <c r="BN78" s="16">
        <v>1.5535502174378713E-2</v>
      </c>
      <c r="BO78" s="16">
        <v>2.6788467436478447E-2</v>
      </c>
      <c r="BP78" s="16">
        <v>6.406467248698644E-2</v>
      </c>
      <c r="BQ78" s="16">
        <v>2.5825354924181254E-2</v>
      </c>
      <c r="BR78" s="16">
        <v>1.4928008566141515E-2</v>
      </c>
      <c r="BS78" s="16">
        <v>2.3507683413799829E-2</v>
      </c>
      <c r="BT78" s="16">
        <v>4.0713828085076398E-2</v>
      </c>
      <c r="BU78" s="16">
        <v>3.3071818913361639E-3</v>
      </c>
      <c r="BV78" s="16">
        <v>7.5034608726361585E-2</v>
      </c>
      <c r="BW78" s="16">
        <v>2.3828822993586907E-2</v>
      </c>
      <c r="BX78" s="16">
        <v>3.9074744136709305E-2</v>
      </c>
      <c r="BY78" s="16">
        <v>4.7403058233833839E-2</v>
      </c>
      <c r="BZ78" s="16">
        <v>1.4821408158048777E-2</v>
      </c>
      <c r="CA78" s="16">
        <v>8.7845749100279313E-4</v>
      </c>
      <c r="CB78" s="16">
        <v>6.9343029595226313E-2</v>
      </c>
      <c r="CC78" s="16">
        <v>2.5199934959270642E-2</v>
      </c>
      <c r="CD78" s="16">
        <v>3.9263547889115791E-2</v>
      </c>
      <c r="CE78" s="16">
        <v>2.8943951174514759E-2</v>
      </c>
      <c r="CF78" s="16">
        <v>2.1015202602674199E-2</v>
      </c>
      <c r="CG78" s="16">
        <v>2.2462531456079349E-2</v>
      </c>
      <c r="CH78" s="16">
        <v>5.0525092293108864E-3</v>
      </c>
      <c r="CI78" s="16">
        <v>1.0424204418318483E-2</v>
      </c>
      <c r="CJ78" s="16">
        <v>4.5150463305102972E-2</v>
      </c>
      <c r="CK78" s="16">
        <v>8.3617619271321164E-3</v>
      </c>
      <c r="CL78" s="16">
        <v>1.7108810884830072E-2</v>
      </c>
      <c r="CM78" s="16">
        <v>8.0448672074495686E-3</v>
      </c>
      <c r="CN78" s="16">
        <v>3.2252495059260311E-2</v>
      </c>
      <c r="CO78" s="16">
        <v>4.4171595765442273E-2</v>
      </c>
      <c r="CP78" s="16">
        <v>9.0224148119028014E-3</v>
      </c>
      <c r="CQ78" s="16">
        <v>2.1657894567444824E-2</v>
      </c>
      <c r="CR78" s="16">
        <v>1.6101721615546127E-2</v>
      </c>
      <c r="CS78" s="16">
        <v>4.600683331652311E-3</v>
      </c>
      <c r="CT78" s="16">
        <v>3.0073573171661483E-2</v>
      </c>
      <c r="CU78" s="16">
        <v>3.7452275413132341E-3</v>
      </c>
      <c r="CV78" s="16">
        <v>3.178865198704206E-2</v>
      </c>
      <c r="CW78" s="16">
        <v>3.5683617542406565E-2</v>
      </c>
      <c r="CX78" s="16">
        <v>1.0699676380553691E-2</v>
      </c>
      <c r="CY78" s="16">
        <v>5.3509603739901324E-2</v>
      </c>
      <c r="CZ78" s="16">
        <v>5.1686542681693703E-3</v>
      </c>
      <c r="DA78" s="16">
        <v>2.7579015236570581E-2</v>
      </c>
      <c r="DB78" s="16">
        <v>3.4633453487995847E-2</v>
      </c>
      <c r="DC78" s="16">
        <v>1.5034633567752032E-2</v>
      </c>
      <c r="DD78" s="16">
        <v>1.9758346702220764E-2</v>
      </c>
      <c r="DE78" s="16">
        <v>2.5609207412532253E-2</v>
      </c>
      <c r="DF78" s="16">
        <v>1.7967576609836944E-2</v>
      </c>
      <c r="DG78" s="16">
        <v>4.1885004874568699E-2</v>
      </c>
      <c r="DH78" s="16">
        <v>4.0528791372070661E-2</v>
      </c>
      <c r="DI78" s="16">
        <v>1.6811509159351479E-2</v>
      </c>
      <c r="DJ78" s="16">
        <v>1.2041495153506387E-2</v>
      </c>
      <c r="DK78" s="16">
        <v>1.5555167869636621E-2</v>
      </c>
      <c r="DL78" s="16">
        <v>8.9745650676923416E-3</v>
      </c>
      <c r="DM78" s="16">
        <v>1.059638659496609E-2</v>
      </c>
      <c r="DN78" s="16">
        <v>4.1767026594006218E-3</v>
      </c>
    </row>
    <row r="79" spans="4:118" x14ac:dyDescent="0.2">
      <c r="D79" s="13">
        <v>71</v>
      </c>
      <c r="E79" s="14">
        <f>1-IFERROR(_xlfn.LOGNORM.DIST(D79,Parameter!$G$6,Parameter!$G$7,TRUE),0)</f>
        <v>2.3159521856817689E-2</v>
      </c>
      <c r="F79" s="15">
        <f t="shared" si="2"/>
        <v>5.9073987648876544E-2</v>
      </c>
      <c r="G79" s="15">
        <f t="shared" si="3"/>
        <v>3.8100514579044757E-3</v>
      </c>
      <c r="R79" s="14">
        <f ca="1">1-IFERROR(_xlfn.LOGNORM.DIST($D79,Parameter!$E$6,Parameter!$E$7,TRUE),0)</f>
        <v>2.1801502622676328E-2</v>
      </c>
      <c r="S79" s="16">
        <v>8.3287393414130939E-3</v>
      </c>
      <c r="T79" s="16">
        <v>8.1015238211974427E-3</v>
      </c>
      <c r="U79" s="16">
        <v>2.685624117032237E-2</v>
      </c>
      <c r="V79" s="16">
        <v>5.2386557421464808E-2</v>
      </c>
      <c r="W79" s="16">
        <v>1.566313220886173E-2</v>
      </c>
      <c r="X79" s="16">
        <v>1.169069655162458E-2</v>
      </c>
      <c r="Y79" s="16">
        <v>6.1861939307263913E-3</v>
      </c>
      <c r="Z79" s="16">
        <v>2.0081304158579005E-2</v>
      </c>
      <c r="AA79" s="16">
        <v>3.8956944664828241E-2</v>
      </c>
      <c r="AB79" s="16">
        <v>3.2091827912322679E-2</v>
      </c>
      <c r="AC79" s="16">
        <v>1.9502737950195081E-2</v>
      </c>
      <c r="AD79" s="16">
        <v>1.9693298517850177E-2</v>
      </c>
      <c r="AE79" s="16">
        <v>2.1938804822409508E-2</v>
      </c>
      <c r="AF79" s="16">
        <v>3.0224613188747029E-2</v>
      </c>
      <c r="AG79" s="16">
        <v>1.7507108801099736E-2</v>
      </c>
      <c r="AH79" s="16">
        <v>3.1350560898765312E-2</v>
      </c>
      <c r="AI79" s="16">
        <v>8.2983848654951675E-3</v>
      </c>
      <c r="AJ79" s="16">
        <v>7.7733656523226724E-3</v>
      </c>
      <c r="AK79" s="16">
        <v>3.7473055523747245E-2</v>
      </c>
      <c r="AL79" s="16">
        <v>1.9030532565792679E-2</v>
      </c>
      <c r="AM79" s="16">
        <v>3.9586115977434666E-3</v>
      </c>
      <c r="AN79" s="16">
        <v>5.4078492136669265E-2</v>
      </c>
      <c r="AO79" s="16">
        <v>1.1869385667461763E-2</v>
      </c>
      <c r="AP79" s="16">
        <v>2.8939741680758968E-2</v>
      </c>
      <c r="AQ79" s="16">
        <v>2.3270130359985153E-2</v>
      </c>
      <c r="AR79" s="16">
        <v>1.572293913145284E-2</v>
      </c>
      <c r="AS79" s="16">
        <v>2.2353487540561878E-2</v>
      </c>
      <c r="AT79" s="16">
        <v>3.7172401440984215E-2</v>
      </c>
      <c r="AU79" s="16">
        <v>5.2777562497520414E-2</v>
      </c>
      <c r="AV79" s="16">
        <v>2.489572531971862E-2</v>
      </c>
      <c r="AW79" s="16">
        <v>3.2179751599207385E-2</v>
      </c>
      <c r="AX79" s="16">
        <v>7.2640562871582048E-3</v>
      </c>
      <c r="AY79" s="16">
        <v>1.8664583582168159E-2</v>
      </c>
      <c r="AZ79" s="16">
        <v>2.0139100375792252E-2</v>
      </c>
      <c r="BA79" s="16">
        <v>3.1044279762442173E-2</v>
      </c>
      <c r="BB79" s="16">
        <v>1.4457263910539031E-2</v>
      </c>
      <c r="BC79" s="16">
        <v>3.0900824060977161E-2</v>
      </c>
      <c r="BD79" s="16">
        <v>1.6997944471379922E-2</v>
      </c>
      <c r="BE79" s="16">
        <v>3.0730970412700342E-2</v>
      </c>
      <c r="BF79" s="16">
        <v>5.2718423103684797E-3</v>
      </c>
      <c r="BG79" s="16">
        <v>3.1427962142410171E-2</v>
      </c>
      <c r="BH79" s="16">
        <v>3.0334845539932931E-2</v>
      </c>
      <c r="BI79" s="16">
        <v>2.603621419346247E-2</v>
      </c>
      <c r="BJ79" s="16">
        <v>3.1835887552026154E-2</v>
      </c>
      <c r="BK79" s="16">
        <v>2.3310904809111577E-2</v>
      </c>
      <c r="BL79" s="16">
        <v>3.5223301117581873E-2</v>
      </c>
      <c r="BM79" s="16">
        <v>3.1371154450535066E-2</v>
      </c>
      <c r="BN79" s="16">
        <v>1.5321234547882367E-2</v>
      </c>
      <c r="BO79" s="16">
        <v>2.6504114915218091E-2</v>
      </c>
      <c r="BP79" s="16">
        <v>6.3593721683730897E-2</v>
      </c>
      <c r="BQ79" s="16">
        <v>2.5563340759731656E-2</v>
      </c>
      <c r="BR79" s="16">
        <v>1.4725803828668282E-2</v>
      </c>
      <c r="BS79" s="16">
        <v>2.3267164157528719E-2</v>
      </c>
      <c r="BT79" s="16">
        <v>4.0276683871941721E-2</v>
      </c>
      <c r="BU79" s="16">
        <v>3.2426069021136428E-3</v>
      </c>
      <c r="BV79" s="16">
        <v>7.4496664414310354E-2</v>
      </c>
      <c r="BW79" s="16">
        <v>2.3553240112550999E-2</v>
      </c>
      <c r="BX79" s="16">
        <v>3.8653630657791926E-2</v>
      </c>
      <c r="BY79" s="16">
        <v>4.6999220229991812E-2</v>
      </c>
      <c r="BZ79" s="16">
        <v>1.4606586607592509E-2</v>
      </c>
      <c r="CA79" s="16">
        <v>8.5657849305276201E-4</v>
      </c>
      <c r="CB79" s="16">
        <v>6.8757189053186174E-2</v>
      </c>
      <c r="CC79" s="16">
        <v>2.4892043883124715E-2</v>
      </c>
      <c r="CD79" s="16">
        <v>3.8888042523414379E-2</v>
      </c>
      <c r="CE79" s="16">
        <v>2.864687342023664E-2</v>
      </c>
      <c r="CF79" s="16">
        <v>2.077289183311104E-2</v>
      </c>
      <c r="CG79" s="16">
        <v>2.2190352875552821E-2</v>
      </c>
      <c r="CH79" s="16">
        <v>4.9653080909292102E-3</v>
      </c>
      <c r="CI79" s="16">
        <v>1.0295466813160958E-2</v>
      </c>
      <c r="CJ79" s="16">
        <v>4.4740327745381725E-2</v>
      </c>
      <c r="CK79" s="16">
        <v>8.2314384552719666E-3</v>
      </c>
      <c r="CL79" s="16">
        <v>1.6881980602775348E-2</v>
      </c>
      <c r="CM79" s="16">
        <v>7.9276162262660321E-3</v>
      </c>
      <c r="CN79" s="16">
        <v>3.193881412195998E-2</v>
      </c>
      <c r="CO79" s="16">
        <v>4.3756330324273063E-2</v>
      </c>
      <c r="CP79" s="16">
        <v>8.8830054679599479E-3</v>
      </c>
      <c r="CQ79" s="16">
        <v>2.1406067735153966E-2</v>
      </c>
      <c r="CR79" s="16">
        <v>1.5900510939641843E-2</v>
      </c>
      <c r="CS79" s="16">
        <v>4.5222704372509526E-3</v>
      </c>
      <c r="CT79" s="16">
        <v>2.9681337427138965E-2</v>
      </c>
      <c r="CU79" s="16">
        <v>3.6756399028120557E-3</v>
      </c>
      <c r="CV79" s="16">
        <v>3.1474754193150378E-2</v>
      </c>
      <c r="CW79" s="16">
        <v>3.5332709492777115E-2</v>
      </c>
      <c r="CX79" s="16">
        <v>1.0563237448187879E-2</v>
      </c>
      <c r="CY79" s="16">
        <v>5.3030633032700503E-2</v>
      </c>
      <c r="CZ79" s="16">
        <v>5.0730714246998154E-3</v>
      </c>
      <c r="DA79" s="16">
        <v>2.7315456057454557E-2</v>
      </c>
      <c r="DB79" s="16">
        <v>3.4212826273687491E-2</v>
      </c>
      <c r="DC79" s="16">
        <v>1.4814161530151804E-2</v>
      </c>
      <c r="DD79" s="16">
        <v>1.9477741063863685E-2</v>
      </c>
      <c r="DE79" s="16">
        <v>2.5317315021087694E-2</v>
      </c>
      <c r="DF79" s="16">
        <v>1.7760181754329696E-2</v>
      </c>
      <c r="DG79" s="16">
        <v>4.1514799008410375E-2</v>
      </c>
      <c r="DH79" s="16">
        <v>4.0138312886430438E-2</v>
      </c>
      <c r="DI79" s="16">
        <v>1.6599304410765958E-2</v>
      </c>
      <c r="DJ79" s="16">
        <v>1.1868315917466177E-2</v>
      </c>
      <c r="DK79" s="16">
        <v>1.5366800963896643E-2</v>
      </c>
      <c r="DL79" s="16">
        <v>8.8524449416109707E-3</v>
      </c>
      <c r="DM79" s="16">
        <v>1.044386950377274E-2</v>
      </c>
      <c r="DN79" s="16">
        <v>4.1009492552059879E-3</v>
      </c>
    </row>
    <row r="80" spans="4:118" x14ac:dyDescent="0.2">
      <c r="D80" s="13">
        <v>72</v>
      </c>
      <c r="E80" s="14">
        <f>1-IFERROR(_xlfn.LOGNORM.DIST(D80,Parameter!$G$6,Parameter!$G$7,TRUE),0)</f>
        <v>2.2897408403237951E-2</v>
      </c>
      <c r="F80" s="15">
        <f t="shared" si="2"/>
        <v>5.8613106220275699E-2</v>
      </c>
      <c r="G80" s="15">
        <f t="shared" si="3"/>
        <v>3.7390128652732141E-3</v>
      </c>
      <c r="R80" s="14">
        <f ca="1">1-IFERROR(_xlfn.LOGNORM.DIST($D80,Parameter!$E$6,Parameter!$E$7,TRUE),0)</f>
        <v>2.1538326971398236E-2</v>
      </c>
      <c r="S80" s="16">
        <v>8.2156427745955218E-3</v>
      </c>
      <c r="T80" s="16">
        <v>7.9819714686316656E-3</v>
      </c>
      <c r="U80" s="16">
        <v>2.6532556408408348E-2</v>
      </c>
      <c r="V80" s="16">
        <v>5.1930755815654317E-2</v>
      </c>
      <c r="W80" s="16">
        <v>1.5478061775891505E-2</v>
      </c>
      <c r="X80" s="16">
        <v>1.151765239348812E-2</v>
      </c>
      <c r="Y80" s="16">
        <v>6.0888157641754148E-3</v>
      </c>
      <c r="Z80" s="16">
        <v>1.98682489810591E-2</v>
      </c>
      <c r="AA80" s="16">
        <v>3.8592322831623727E-2</v>
      </c>
      <c r="AB80" s="16">
        <v>3.1723315298864851E-2</v>
      </c>
      <c r="AC80" s="16">
        <v>1.9269502254159021E-2</v>
      </c>
      <c r="AD80" s="16">
        <v>1.9460476884525679E-2</v>
      </c>
      <c r="AE80" s="16">
        <v>2.1688174478582845E-2</v>
      </c>
      <c r="AF80" s="16">
        <v>2.9903410155940113E-2</v>
      </c>
      <c r="AG80" s="16">
        <v>1.7242299594233734E-2</v>
      </c>
      <c r="AH80" s="16">
        <v>3.1053222668541824E-2</v>
      </c>
      <c r="AI80" s="16">
        <v>8.1798858736773505E-3</v>
      </c>
      <c r="AJ80" s="16">
        <v>7.6529709146798686E-3</v>
      </c>
      <c r="AK80" s="16">
        <v>3.7149588267900935E-2</v>
      </c>
      <c r="AL80" s="16">
        <v>1.8814057400992512E-2</v>
      </c>
      <c r="AM80" s="16">
        <v>3.8836358037486196E-3</v>
      </c>
      <c r="AN80" s="16">
        <v>5.3618539608386473E-2</v>
      </c>
      <c r="AO80" s="16">
        <v>1.1710557853042869E-2</v>
      </c>
      <c r="AP80" s="16">
        <v>2.8666158653048002E-2</v>
      </c>
      <c r="AQ80" s="16">
        <v>2.3036380630198749E-2</v>
      </c>
      <c r="AR80" s="16">
        <v>1.5505822427842375E-2</v>
      </c>
      <c r="AS80" s="16">
        <v>2.2098742254872072E-2</v>
      </c>
      <c r="AT80" s="16">
        <v>3.6819588828684968E-2</v>
      </c>
      <c r="AU80" s="16">
        <v>5.232378682116301E-2</v>
      </c>
      <c r="AV80" s="16">
        <v>2.4597925692451006E-2</v>
      </c>
      <c r="AW80" s="16">
        <v>3.1889256415531531E-2</v>
      </c>
      <c r="AX80" s="16">
        <v>7.1505804335095791E-3</v>
      </c>
      <c r="AY80" s="16">
        <v>1.8411310304446205E-2</v>
      </c>
      <c r="AZ80" s="16">
        <v>1.9910064227669833E-2</v>
      </c>
      <c r="BA80" s="16">
        <v>3.0671513295392971E-2</v>
      </c>
      <c r="BB80" s="16">
        <v>1.4263950759101029E-2</v>
      </c>
      <c r="BC80" s="16">
        <v>3.0542345079743405E-2</v>
      </c>
      <c r="BD80" s="16">
        <v>1.6814616883786937E-2</v>
      </c>
      <c r="BE80" s="16">
        <v>3.0411027813396996E-2</v>
      </c>
      <c r="BF80" s="16">
        <v>5.1795705253726565E-3</v>
      </c>
      <c r="BG80" s="16">
        <v>3.1063243685776176E-2</v>
      </c>
      <c r="BH80" s="16">
        <v>3.0034197201996848E-2</v>
      </c>
      <c r="BI80" s="16">
        <v>2.5772088026746798E-2</v>
      </c>
      <c r="BJ80" s="16">
        <v>3.1511612753496565E-2</v>
      </c>
      <c r="BK80" s="16">
        <v>2.3067666318539959E-2</v>
      </c>
      <c r="BL80" s="16">
        <v>3.4838238960458123E-2</v>
      </c>
      <c r="BM80" s="16">
        <v>3.1050877128756538E-2</v>
      </c>
      <c r="BN80" s="16">
        <v>1.5112453596876962E-2</v>
      </c>
      <c r="BO80" s="16">
        <v>2.6226213204625815E-2</v>
      </c>
      <c r="BP80" s="16">
        <v>6.3131999821508966E-2</v>
      </c>
      <c r="BQ80" s="16">
        <v>2.5307174268610511E-2</v>
      </c>
      <c r="BR80" s="16">
        <v>1.4528738557660903E-2</v>
      </c>
      <c r="BS80" s="16">
        <v>2.303204038761153E-2</v>
      </c>
      <c r="BT80" s="16">
        <v>3.98493939388469E-2</v>
      </c>
      <c r="BU80" s="16">
        <v>3.1800478835448676E-3</v>
      </c>
      <c r="BV80" s="16">
        <v>7.3969131591887116E-2</v>
      </c>
      <c r="BW80" s="16">
        <v>2.3284141510988343E-2</v>
      </c>
      <c r="BX80" s="16">
        <v>3.8242034955450199E-2</v>
      </c>
      <c r="BY80" s="16">
        <v>4.6603736276405128E-2</v>
      </c>
      <c r="BZ80" s="16">
        <v>1.4397398422350105E-2</v>
      </c>
      <c r="CA80" s="16">
        <v>8.3549723881481963E-4</v>
      </c>
      <c r="CB80" s="16">
        <v>6.818328636472426E-2</v>
      </c>
      <c r="CC80" s="16">
        <v>2.4591554042418196E-2</v>
      </c>
      <c r="CD80" s="16">
        <v>3.8520657928967972E-2</v>
      </c>
      <c r="CE80" s="16">
        <v>2.8356438015605612E-2</v>
      </c>
      <c r="CF80" s="16">
        <v>2.0536290609964869E-2</v>
      </c>
      <c r="CG80" s="16">
        <v>2.1924711284498688E-2</v>
      </c>
      <c r="CH80" s="16">
        <v>4.8806418771790705E-3</v>
      </c>
      <c r="CI80" s="16">
        <v>1.0169889409765154E-2</v>
      </c>
      <c r="CJ80" s="16">
        <v>4.4338871304841709E-2</v>
      </c>
      <c r="CK80" s="16">
        <v>8.104688109725311E-3</v>
      </c>
      <c r="CL80" s="16">
        <v>1.6660845830067439E-2</v>
      </c>
      <c r="CM80" s="16">
        <v>7.8134793040972594E-3</v>
      </c>
      <c r="CN80" s="16">
        <v>3.1631991706711715E-2</v>
      </c>
      <c r="CO80" s="16">
        <v>4.3349962586760382E-2</v>
      </c>
      <c r="CP80" s="16">
        <v>8.7473977946451731E-3</v>
      </c>
      <c r="CQ80" s="16">
        <v>2.1160191359363423E-2</v>
      </c>
      <c r="CR80" s="16">
        <v>1.5704229168147843E-2</v>
      </c>
      <c r="CS80" s="16">
        <v>4.4461248410800902E-3</v>
      </c>
      <c r="CT80" s="16">
        <v>2.9298753554069745E-2</v>
      </c>
      <c r="CU80" s="16">
        <v>3.6081635399859424E-3</v>
      </c>
      <c r="CV80" s="16">
        <v>3.116775995715948E-2</v>
      </c>
      <c r="CW80" s="16">
        <v>3.4989485513430174E-2</v>
      </c>
      <c r="CX80" s="16">
        <v>1.0430193412055311E-2</v>
      </c>
      <c r="CY80" s="16">
        <v>5.256169657001375E-2</v>
      </c>
      <c r="CZ80" s="16">
        <v>4.9803696277043175E-3</v>
      </c>
      <c r="DA80" s="16">
        <v>2.7057643364746364E-2</v>
      </c>
      <c r="DB80" s="16">
        <v>3.3802202894710365E-2</v>
      </c>
      <c r="DC80" s="16">
        <v>1.4599501211601806E-2</v>
      </c>
      <c r="DD80" s="16">
        <v>1.9204381807922943E-2</v>
      </c>
      <c r="DE80" s="16">
        <v>2.5032239387458244E-2</v>
      </c>
      <c r="DF80" s="16">
        <v>1.7557690845896423E-2</v>
      </c>
      <c r="DG80" s="16">
        <v>4.115237131301086E-2</v>
      </c>
      <c r="DH80" s="16">
        <v>3.9756293869565029E-2</v>
      </c>
      <c r="DI80" s="16">
        <v>1.6392316265900098E-2</v>
      </c>
      <c r="DJ80" s="16">
        <v>1.1699678613030007E-2</v>
      </c>
      <c r="DK80" s="16">
        <v>1.5182989771495681E-2</v>
      </c>
      <c r="DL80" s="16">
        <v>8.7334612313930693E-3</v>
      </c>
      <c r="DM80" s="16">
        <v>1.0295362447221179E-2</v>
      </c>
      <c r="DN80" s="16">
        <v>4.0274616618528603E-3</v>
      </c>
    </row>
    <row r="81" spans="4:118" x14ac:dyDescent="0.2">
      <c r="D81" s="13">
        <v>73</v>
      </c>
      <c r="E81" s="14">
        <f>1-IFERROR(_xlfn.LOGNORM.DIST(D81,Parameter!$G$6,Parameter!$G$7,TRUE),0)</f>
        <v>2.2641362557947575E-2</v>
      </c>
      <c r="F81" s="15">
        <f t="shared" si="2"/>
        <v>5.8161370797293138E-2</v>
      </c>
      <c r="G81" s="15">
        <f t="shared" si="3"/>
        <v>3.6701200580065985E-3</v>
      </c>
      <c r="R81" s="14">
        <f ca="1">1-IFERROR(_xlfn.LOGNORM.DIST($D81,Parameter!$E$6,Parameter!$E$7,TRUE),0)</f>
        <v>2.128141618706203E-2</v>
      </c>
      <c r="S81" s="16">
        <v>8.1054297673769371E-3</v>
      </c>
      <c r="T81" s="16">
        <v>7.8655901807066497E-3</v>
      </c>
      <c r="U81" s="16">
        <v>2.6216535217399528E-2</v>
      </c>
      <c r="V81" s="16">
        <v>5.1484333255509274E-2</v>
      </c>
      <c r="W81" s="16">
        <v>1.529738570800232E-2</v>
      </c>
      <c r="X81" s="16">
        <v>1.1349178241157998E-2</v>
      </c>
      <c r="Y81" s="16">
        <v>5.9941135928530676E-3</v>
      </c>
      <c r="Z81" s="16">
        <v>1.9660014409528137E-2</v>
      </c>
      <c r="AA81" s="16">
        <v>3.8235458866475946E-2</v>
      </c>
      <c r="AB81" s="16">
        <v>3.1363317140247426E-2</v>
      </c>
      <c r="AC81" s="16">
        <v>1.9041809725780401E-2</v>
      </c>
      <c r="AD81" s="16">
        <v>1.9233160892406231E-2</v>
      </c>
      <c r="AE81" s="16">
        <v>2.1443374711076046E-2</v>
      </c>
      <c r="AF81" s="16">
        <v>2.9589415681538611E-2</v>
      </c>
      <c r="AG81" s="16">
        <v>1.6984502101617727E-2</v>
      </c>
      <c r="AH81" s="16">
        <v>3.0762274872615403E-2</v>
      </c>
      <c r="AI81" s="16">
        <v>8.0644800663708383E-3</v>
      </c>
      <c r="AJ81" s="16">
        <v>7.5358477233327115E-3</v>
      </c>
      <c r="AK81" s="16">
        <v>3.6832821103123914E-2</v>
      </c>
      <c r="AL81" s="16">
        <v>1.8602623802329132E-2</v>
      </c>
      <c r="AM81" s="16">
        <v>3.8109429334349798E-3</v>
      </c>
      <c r="AN81" s="16">
        <v>5.3167972013469567E-2</v>
      </c>
      <c r="AO81" s="16">
        <v>1.1555730851009027E-2</v>
      </c>
      <c r="AP81" s="16">
        <v>2.8398459265879583E-2</v>
      </c>
      <c r="AQ81" s="16">
        <v>2.2807794994431974E-2</v>
      </c>
      <c r="AR81" s="16">
        <v>1.5294226005349798E-2</v>
      </c>
      <c r="AS81" s="16">
        <v>2.18499150512943E-2</v>
      </c>
      <c r="AT81" s="16">
        <v>3.6474329349310164E-2</v>
      </c>
      <c r="AU81" s="16">
        <v>5.1879309882699953E-2</v>
      </c>
      <c r="AV81" s="16">
        <v>2.4307167202602731E-2</v>
      </c>
      <c r="AW81" s="16">
        <v>3.1604892966968112E-2</v>
      </c>
      <c r="AX81" s="16">
        <v>7.0402042622547123E-3</v>
      </c>
      <c r="AY81" s="16">
        <v>1.8164403470101731E-2</v>
      </c>
      <c r="AZ81" s="16">
        <v>1.968635580547029E-2</v>
      </c>
      <c r="BA81" s="16">
        <v>3.0307526375870197E-2</v>
      </c>
      <c r="BB81" s="16">
        <v>1.4075488821716053E-2</v>
      </c>
      <c r="BC81" s="16">
        <v>3.0192191344914798E-2</v>
      </c>
      <c r="BD81" s="16">
        <v>1.6635476973892116E-2</v>
      </c>
      <c r="BE81" s="16">
        <v>3.0098206220558255E-2</v>
      </c>
      <c r="BF81" s="16">
        <v>5.089981903625862E-3</v>
      </c>
      <c r="BG81" s="16">
        <v>3.0706992821101342E-2</v>
      </c>
      <c r="BH81" s="16">
        <v>2.9740119914349994E-2</v>
      </c>
      <c r="BI81" s="16">
        <v>2.5513805105745857E-2</v>
      </c>
      <c r="BJ81" s="16">
        <v>3.1194489749383103E-2</v>
      </c>
      <c r="BK81" s="16">
        <v>2.2829879799690644E-2</v>
      </c>
      <c r="BL81" s="16">
        <v>3.4461879689154928E-2</v>
      </c>
      <c r="BM81" s="16">
        <v>3.0737672082499112E-2</v>
      </c>
      <c r="BN81" s="16">
        <v>1.4908951504238543E-2</v>
      </c>
      <c r="BO81" s="16">
        <v>2.5954534958283371E-2</v>
      </c>
      <c r="BP81" s="16">
        <v>6.267920779218128E-2</v>
      </c>
      <c r="BQ81" s="16">
        <v>2.5056651051954315E-2</v>
      </c>
      <c r="BR81" s="16">
        <v>1.4336618822370806E-2</v>
      </c>
      <c r="BS81" s="16">
        <v>2.2802122826631743E-2</v>
      </c>
      <c r="BT81" s="16">
        <v>3.9431614026578243E-2</v>
      </c>
      <c r="BU81" s="16">
        <v>3.1194176828447384E-3</v>
      </c>
      <c r="BV81" s="16">
        <v>7.3451675545364581E-2</v>
      </c>
      <c r="BW81" s="16">
        <v>2.3021293872885651E-2</v>
      </c>
      <c r="BX81" s="16">
        <v>3.7839623872075623E-2</v>
      </c>
      <c r="BY81" s="16">
        <v>4.6216327371471966E-2</v>
      </c>
      <c r="BZ81" s="16">
        <v>1.4193627216431359E-2</v>
      </c>
      <c r="CA81" s="16">
        <v>8.1517523427376837E-4</v>
      </c>
      <c r="CB81" s="16">
        <v>6.7620928027370963E-2</v>
      </c>
      <c r="CC81" s="16">
        <v>2.4298196223694224E-2</v>
      </c>
      <c r="CD81" s="16">
        <v>3.8161116155838837E-2</v>
      </c>
      <c r="CE81" s="16">
        <v>2.8072412840782435E-2</v>
      </c>
      <c r="CF81" s="16">
        <v>2.0305193056851967E-2</v>
      </c>
      <c r="CG81" s="16">
        <v>2.1665368688507436E-2</v>
      </c>
      <c r="CH81" s="16">
        <v>4.7984060839749709E-3</v>
      </c>
      <c r="CI81" s="16">
        <v>1.0047354931635888E-2</v>
      </c>
      <c r="CJ81" s="16">
        <v>4.3945800674447977E-2</v>
      </c>
      <c r="CK81" s="16">
        <v>7.9813692601777841E-3</v>
      </c>
      <c r="CL81" s="16">
        <v>1.6445193424354798E-2</v>
      </c>
      <c r="CM81" s="16">
        <v>7.7023352644308707E-3</v>
      </c>
      <c r="CN81" s="16">
        <v>3.1331791191134939E-2</v>
      </c>
      <c r="CO81" s="16">
        <v>4.2952189902489946E-2</v>
      </c>
      <c r="CP81" s="16">
        <v>8.6154416814246959E-3</v>
      </c>
      <c r="CQ81" s="16">
        <v>2.0920050617820762E-2</v>
      </c>
      <c r="CR81" s="16">
        <v>1.551269426006896E-2</v>
      </c>
      <c r="CS81" s="16">
        <v>4.3721533155840486E-3</v>
      </c>
      <c r="CT81" s="16">
        <v>2.8925466935763033E-2</v>
      </c>
      <c r="CU81" s="16">
        <v>3.5427088849999677E-3</v>
      </c>
      <c r="CV81" s="16">
        <v>3.0867430343119562E-2</v>
      </c>
      <c r="CW81" s="16">
        <v>3.4653680610056359E-2</v>
      </c>
      <c r="CX81" s="16">
        <v>1.030041733676923E-2</v>
      </c>
      <c r="CY81" s="16">
        <v>5.2102457745948016E-2</v>
      </c>
      <c r="CZ81" s="16">
        <v>4.8904274437046036E-3</v>
      </c>
      <c r="DA81" s="16">
        <v>2.6805378867737928E-2</v>
      </c>
      <c r="DB81" s="16">
        <v>3.3401223170485217E-2</v>
      </c>
      <c r="DC81" s="16">
        <v>1.4390428746496986E-2</v>
      </c>
      <c r="DD81" s="16">
        <v>1.8937993933639041E-2</v>
      </c>
      <c r="DE81" s="16">
        <v>2.4753736416796901E-2</v>
      </c>
      <c r="DF81" s="16">
        <v>1.7359926448779817E-2</v>
      </c>
      <c r="DG81" s="16">
        <v>4.0797459609564601E-2</v>
      </c>
      <c r="DH81" s="16">
        <v>3.9382444642508174E-2</v>
      </c>
      <c r="DI81" s="16">
        <v>1.61903517604568E-2</v>
      </c>
      <c r="DJ81" s="16">
        <v>1.1535408394963143E-2</v>
      </c>
      <c r="DK81" s="16">
        <v>1.5003567172143462E-2</v>
      </c>
      <c r="DL81" s="16">
        <v>8.6174943539801818E-3</v>
      </c>
      <c r="DM81" s="16">
        <v>1.0150710651490868E-2</v>
      </c>
      <c r="DN81" s="16">
        <v>3.9561446798846989E-3</v>
      </c>
    </row>
    <row r="82" spans="4:118" x14ac:dyDescent="0.2">
      <c r="D82" s="13">
        <v>74</v>
      </c>
      <c r="E82" s="14">
        <f>1-IFERROR(_xlfn.LOGNORM.DIST(D82,Parameter!$G$6,Parameter!$G$7,TRUE),0)</f>
        <v>2.2391169176000258E-2</v>
      </c>
      <c r="F82" s="15">
        <f t="shared" si="2"/>
        <v>5.771848483893148E-2</v>
      </c>
      <c r="G82" s="15">
        <f t="shared" si="3"/>
        <v>3.6032827152526177E-3</v>
      </c>
      <c r="R82" s="14">
        <f ca="1">1-IFERROR(_xlfn.LOGNORM.DIST($D82,Parameter!$E$6,Parameter!$E$7,TRUE),0)</f>
        <v>2.1030544591750355E-2</v>
      </c>
      <c r="S82" s="16">
        <v>7.9979913948707848E-3</v>
      </c>
      <c r="T82" s="16">
        <v>7.752257340297386E-3</v>
      </c>
      <c r="U82" s="16">
        <v>2.5907903049632974E-2</v>
      </c>
      <c r="V82" s="16">
        <v>5.1046979899987077E-2</v>
      </c>
      <c r="W82" s="16">
        <v>1.5120945401961738E-2</v>
      </c>
      <c r="X82" s="16">
        <v>1.118509840506654E-2</v>
      </c>
      <c r="Y82" s="16">
        <v>5.9019815172917101E-3</v>
      </c>
      <c r="Z82" s="16">
        <v>1.9456431366088434E-2</v>
      </c>
      <c r="AA82" s="16">
        <v>3.7886091143016887E-2</v>
      </c>
      <c r="AB82" s="16">
        <v>3.1011533067282659E-2</v>
      </c>
      <c r="AC82" s="16">
        <v>1.8819460618208605E-2</v>
      </c>
      <c r="AD82" s="16">
        <v>1.9011152710987744E-2</v>
      </c>
      <c r="AE82" s="16">
        <v>2.1204198105497563E-2</v>
      </c>
      <c r="AF82" s="16">
        <v>2.9282379110165513E-2</v>
      </c>
      <c r="AG82" s="16">
        <v>1.6733447597565454E-2</v>
      </c>
      <c r="AH82" s="16">
        <v>3.0477500336285046E-2</v>
      </c>
      <c r="AI82" s="16">
        <v>7.9520489813054152E-3</v>
      </c>
      <c r="AJ82" s="16">
        <v>7.4218677081399065E-3</v>
      </c>
      <c r="AK82" s="16">
        <v>3.6522531013092774E-2</v>
      </c>
      <c r="AL82" s="16">
        <v>1.839605205727135E-2</v>
      </c>
      <c r="AM82" s="16">
        <v>3.7404364375643873E-3</v>
      </c>
      <c r="AN82" s="16">
        <v>5.2726480725704739E-2</v>
      </c>
      <c r="AO82" s="16">
        <v>1.1404755009684076E-2</v>
      </c>
      <c r="AP82" s="16">
        <v>2.813644333469989E-2</v>
      </c>
      <c r="AQ82" s="16">
        <v>2.2584194870118424E-2</v>
      </c>
      <c r="AR82" s="16">
        <v>1.5087942848875935E-2</v>
      </c>
      <c r="AS82" s="16">
        <v>2.1606795602662321E-2</v>
      </c>
      <c r="AT82" s="16">
        <v>3.6136367332073815E-2</v>
      </c>
      <c r="AU82" s="16">
        <v>5.1443825144415145E-2</v>
      </c>
      <c r="AV82" s="16">
        <v>2.4023197539017049E-2</v>
      </c>
      <c r="AW82" s="16">
        <v>3.1326454854105679E-2</v>
      </c>
      <c r="AX82" s="16">
        <v>6.932805700170297E-3</v>
      </c>
      <c r="AY82" s="16">
        <v>1.7923626323948061E-2</v>
      </c>
      <c r="AZ82" s="16">
        <v>1.9467785425017259E-2</v>
      </c>
      <c r="BA82" s="16">
        <v>2.9952005989675179E-2</v>
      </c>
      <c r="BB82" s="16">
        <v>1.3891697357600208E-2</v>
      </c>
      <c r="BC82" s="16">
        <v>2.9850068210565683E-2</v>
      </c>
      <c r="BD82" s="16">
        <v>1.6460376888476458E-2</v>
      </c>
      <c r="BE82" s="16">
        <v>2.9792259142722655E-2</v>
      </c>
      <c r="BF82" s="16">
        <v>5.00296641198128E-3</v>
      </c>
      <c r="BG82" s="16">
        <v>3.0358909984326665E-2</v>
      </c>
      <c r="BH82" s="16">
        <v>2.9452388330232115E-2</v>
      </c>
      <c r="BI82" s="16">
        <v>2.5261163435890688E-2</v>
      </c>
      <c r="BJ82" s="16">
        <v>3.088427226117485E-2</v>
      </c>
      <c r="BK82" s="16">
        <v>2.2597355261176566E-2</v>
      </c>
      <c r="BL82" s="16">
        <v>3.4093920195901517E-2</v>
      </c>
      <c r="BM82" s="16">
        <v>3.0431295573768447E-2</v>
      </c>
      <c r="BN82" s="16">
        <v>1.4710530876457906E-2</v>
      </c>
      <c r="BO82" s="16">
        <v>2.568886368842882E-2</v>
      </c>
      <c r="BP82" s="16">
        <v>6.2235059988993924E-2</v>
      </c>
      <c r="BQ82" s="16">
        <v>2.4811576426077231E-2</v>
      </c>
      <c r="BR82" s="16">
        <v>1.4149260398284458E-2</v>
      </c>
      <c r="BS82" s="16">
        <v>2.2577231218846361E-2</v>
      </c>
      <c r="BT82" s="16">
        <v>3.9023016175227743E-2</v>
      </c>
      <c r="BU82" s="16">
        <v>3.0606339625798284E-3</v>
      </c>
      <c r="BV82" s="16">
        <v>7.2943976579418424E-2</v>
      </c>
      <c r="BW82" s="16">
        <v>2.2764475179117616E-2</v>
      </c>
      <c r="BX82" s="16">
        <v>3.7446080048533448E-2</v>
      </c>
      <c r="BY82" s="16">
        <v>4.5836727360389573E-2</v>
      </c>
      <c r="BZ82" s="16">
        <v>1.3995067558537633E-2</v>
      </c>
      <c r="CA82" s="16">
        <v>7.9557629690840681E-4</v>
      </c>
      <c r="CB82" s="16">
        <v>6.7069738457030681E-2</v>
      </c>
      <c r="CC82" s="16">
        <v>2.4011714330504308E-2</v>
      </c>
      <c r="CD82" s="16">
        <v>3.7809152259595136E-2</v>
      </c>
      <c r="CE82" s="16">
        <v>2.7794576799092807E-2</v>
      </c>
      <c r="CF82" s="16">
        <v>2.0079403287320052E-2</v>
      </c>
      <c r="CG82" s="16">
        <v>2.1412098706019567E-2</v>
      </c>
      <c r="CH82" s="16">
        <v>4.7185017855653211E-3</v>
      </c>
      <c r="CI82" s="16">
        <v>9.9277519201778075E-3</v>
      </c>
      <c r="CJ82" s="16">
        <v>4.3560836150772775E-2</v>
      </c>
      <c r="CK82" s="16">
        <v>7.8613476210832589E-3</v>
      </c>
      <c r="CL82" s="16">
        <v>1.6234820845325904E-2</v>
      </c>
      <c r="CM82" s="16">
        <v>7.5940691398668214E-3</v>
      </c>
      <c r="CN82" s="16">
        <v>3.1037987093894825E-2</v>
      </c>
      <c r="CO82" s="16">
        <v>4.2562723716324857E-2</v>
      </c>
      <c r="CP82" s="16">
        <v>8.4869947792314271E-3</v>
      </c>
      <c r="CQ82" s="16">
        <v>2.0685441118138526E-2</v>
      </c>
      <c r="CR82" s="16">
        <v>1.5325733157462995E-2</v>
      </c>
      <c r="CS82" s="16">
        <v>4.3002676030282627E-3</v>
      </c>
      <c r="CT82" s="16">
        <v>2.8561140310022215E-2</v>
      </c>
      <c r="CU82" s="16">
        <v>3.4791912522086355E-3</v>
      </c>
      <c r="CV82" s="16">
        <v>3.057353768805593E-2</v>
      </c>
      <c r="CW82" s="16">
        <v>3.4325042253126714E-2</v>
      </c>
      <c r="CX82" s="16">
        <v>1.0173788614207702E-2</v>
      </c>
      <c r="CY82" s="16">
        <v>5.1652595477771457E-2</v>
      </c>
      <c r="CZ82" s="16">
        <v>4.803130018349866E-3</v>
      </c>
      <c r="DA82" s="16">
        <v>2.655847362195074E-2</v>
      </c>
      <c r="DB82" s="16">
        <v>3.3009544308981065E-2</v>
      </c>
      <c r="DC82" s="16">
        <v>1.4186731621654625E-2</v>
      </c>
      <c r="DD82" s="16">
        <v>1.867831622458882E-2</v>
      </c>
      <c r="DE82" s="16">
        <v>2.4481573791571787E-2</v>
      </c>
      <c r="DF82" s="16">
        <v>1.7166719763850757E-2</v>
      </c>
      <c r="DG82" s="16">
        <v>4.0449813869103957E-2</v>
      </c>
      <c r="DH82" s="16">
        <v>3.9016489080947681E-2</v>
      </c>
      <c r="DI82" s="16">
        <v>1.5993227459059511E-2</v>
      </c>
      <c r="DJ82" s="16">
        <v>1.137533929449086E-2</v>
      </c>
      <c r="DK82" s="16">
        <v>1.4828374258299304E-2</v>
      </c>
      <c r="DL82" s="16">
        <v>8.5044307687710541E-3</v>
      </c>
      <c r="DM82" s="16">
        <v>1.0009767219595567E-2</v>
      </c>
      <c r="DN82" s="16">
        <v>3.8869082621797446E-3</v>
      </c>
    </row>
    <row r="83" spans="4:118" x14ac:dyDescent="0.2">
      <c r="D83" s="13">
        <v>75</v>
      </c>
      <c r="E83" s="14">
        <f>1-IFERROR(_xlfn.LOGNORM.DIST(D83,Parameter!$G$6,Parameter!$G$7,TRUE),0)</f>
        <v>2.214662338566542E-2</v>
      </c>
      <c r="F83" s="15">
        <f t="shared" si="2"/>
        <v>5.7284165129299271E-2</v>
      </c>
      <c r="G83" s="15">
        <f t="shared" si="3"/>
        <v>3.5384153925290792E-3</v>
      </c>
      <c r="R83" s="14">
        <f ca="1">1-IFERROR(_xlfn.LOGNORM.DIST($D83,Parameter!$E$6,Parameter!$E$7,TRUE),0)</f>
        <v>2.0785497394970043E-2</v>
      </c>
      <c r="S83" s="16">
        <v>7.8932241799316571E-3</v>
      </c>
      <c r="T83" s="16">
        <v>7.641856559060467E-3</v>
      </c>
      <c r="U83" s="16">
        <v>2.560639853559199E-2</v>
      </c>
      <c r="V83" s="16">
        <v>5.0618399994786678E-2</v>
      </c>
      <c r="W83" s="16">
        <v>1.4948589931385925E-2</v>
      </c>
      <c r="X83" s="16">
        <v>1.1025246067775663E-2</v>
      </c>
      <c r="Y83" s="16">
        <v>5.8123191085120984E-3</v>
      </c>
      <c r="Z83" s="16">
        <v>1.9257338798374435E-2</v>
      </c>
      <c r="AA83" s="16">
        <v>3.7543970105118007E-2</v>
      </c>
      <c r="AB83" s="16">
        <v>3.0667676971392055E-2</v>
      </c>
      <c r="AC83" s="16">
        <v>1.8602264830475224E-2</v>
      </c>
      <c r="AD83" s="16">
        <v>1.8794264045396969E-2</v>
      </c>
      <c r="AE83" s="16">
        <v>2.09704471752854E-2</v>
      </c>
      <c r="AF83" s="16">
        <v>2.8982061589330255E-2</v>
      </c>
      <c r="AG83" s="16">
        <v>1.6488880857676635E-2</v>
      </c>
      <c r="AH83" s="16">
        <v>3.0198691966465074E-2</v>
      </c>
      <c r="AI83" s="16">
        <v>7.8424801351301143E-3</v>
      </c>
      <c r="AJ83" s="16">
        <v>7.3109090850059788E-3</v>
      </c>
      <c r="AK83" s="16">
        <v>3.6218505192368688E-2</v>
      </c>
      <c r="AL83" s="16">
        <v>1.8194171073864784E-2</v>
      </c>
      <c r="AM83" s="16">
        <v>3.6720249954773632E-3</v>
      </c>
      <c r="AN83" s="16">
        <v>5.229377110937139E-2</v>
      </c>
      <c r="AO83" s="16">
        <v>1.1257488100888446E-2</v>
      </c>
      <c r="AP83" s="16">
        <v>2.7879919979097001E-2</v>
      </c>
      <c r="AQ83" s="16">
        <v>2.2365410069598024E-2</v>
      </c>
      <c r="AR83" s="16">
        <v>1.4886776210933594E-2</v>
      </c>
      <c r="AS83" s="16">
        <v>2.1369183641822609E-2</v>
      </c>
      <c r="AT83" s="16">
        <v>3.5805458932250844E-2</v>
      </c>
      <c r="AU83" s="16">
        <v>5.1017039987106494E-2</v>
      </c>
      <c r="AV83" s="16">
        <v>2.3745776510879613E-2</v>
      </c>
      <c r="AW83" s="16">
        <v>3.1053745201380267E-2</v>
      </c>
      <c r="AX83" s="16">
        <v>6.8282689545500208E-3</v>
      </c>
      <c r="AY83" s="16">
        <v>1.7688753776287869E-2</v>
      </c>
      <c r="AZ83" s="16">
        <v>1.9254172491028232E-2</v>
      </c>
      <c r="BA83" s="16">
        <v>2.9604654083079884E-2</v>
      </c>
      <c r="BB83" s="16">
        <v>1.371240455819045E-2</v>
      </c>
      <c r="BC83" s="16">
        <v>2.9515695051872126E-2</v>
      </c>
      <c r="BD83" s="16">
        <v>1.6289175827957303E-2</v>
      </c>
      <c r="BE83" s="16">
        <v>2.9492951661782674E-2</v>
      </c>
      <c r="BF83" s="16">
        <v>4.9184198438479987E-3</v>
      </c>
      <c r="BG83" s="16">
        <v>3.0018709860845649E-2</v>
      </c>
      <c r="BH83" s="16">
        <v>2.9170787624403505E-2</v>
      </c>
      <c r="BI83" s="16">
        <v>2.5013970509709993E-2</v>
      </c>
      <c r="BJ83" s="16">
        <v>3.0580725534283926E-2</v>
      </c>
      <c r="BK83" s="16">
        <v>2.2369911685755306E-2</v>
      </c>
      <c r="BL83" s="16">
        <v>3.373407164108555E-2</v>
      </c>
      <c r="BM83" s="16">
        <v>3.0131515276495047E-2</v>
      </c>
      <c r="BN83" s="16">
        <v>1.4517004094288244E-2</v>
      </c>
      <c r="BO83" s="16">
        <v>2.5428993113371989E-2</v>
      </c>
      <c r="BP83" s="16">
        <v>6.179928352828179E-2</v>
      </c>
      <c r="BQ83" s="16">
        <v>2.4571764840439769E-2</v>
      </c>
      <c r="BR83" s="16">
        <v>1.3966488163236757E-2</v>
      </c>
      <c r="BS83" s="16">
        <v>2.2357193788466789E-2</v>
      </c>
      <c r="BT83" s="16">
        <v>3.8623287752677316E-2</v>
      </c>
      <c r="BU83" s="16">
        <v>3.0036188773139294E-3</v>
      </c>
      <c r="BV83" s="16">
        <v>7.2445729155481087E-2</v>
      </c>
      <c r="BW83" s="16">
        <v>2.251347402185877E-2</v>
      </c>
      <c r="BX83" s="16">
        <v>3.7061100981266804E-2</v>
      </c>
      <c r="BY83" s="16">
        <v>4.5464682183769978E-2</v>
      </c>
      <c r="BZ83" s="16">
        <v>1.3801524285011801E-2</v>
      </c>
      <c r="CA83" s="16">
        <v>7.7666638987994308E-4</v>
      </c>
      <c r="CB83" s="16">
        <v>6.6529358950007111E-2</v>
      </c>
      <c r="CC83" s="16">
        <v>2.373186458425558E-2</v>
      </c>
      <c r="CD83" s="16">
        <v>3.7464513531824228E-2</v>
      </c>
      <c r="CE83" s="16">
        <v>2.7522719157352049E-2</v>
      </c>
      <c r="CF83" s="16">
        <v>1.9858734797322142E-2</v>
      </c>
      <c r="CG83" s="16">
        <v>2.1164685859662469E-2</v>
      </c>
      <c r="CH83" s="16">
        <v>4.6408352697343558E-3</v>
      </c>
      <c r="CI83" s="16">
        <v>9.810974374485637E-3</v>
      </c>
      <c r="CJ83" s="16">
        <v>4.3183710836181222E-2</v>
      </c>
      <c r="CK83" s="16">
        <v>7.7444957820499427E-3</v>
      </c>
      <c r="CL83" s="16">
        <v>1.6029535498316205E-2</v>
      </c>
      <c r="CM83" s="16">
        <v>7.488571778422104E-3</v>
      </c>
      <c r="CN83" s="16">
        <v>3.0750364412133746E-2</v>
      </c>
      <c r="CO83" s="16">
        <v>4.2181288737544675E-2</v>
      </c>
      <c r="CP83" s="16">
        <v>8.3619220054010901E-3</v>
      </c>
      <c r="CQ83" s="16">
        <v>2.0456168263359609E-2</v>
      </c>
      <c r="CR83" s="16">
        <v>1.514318123216829E-2</v>
      </c>
      <c r="CS83" s="16">
        <v>4.2303840907016443E-3</v>
      </c>
      <c r="CT83" s="16">
        <v>2.8205452710110546E-2</v>
      </c>
      <c r="CU83" s="16">
        <v>3.4175305136711076E-3</v>
      </c>
      <c r="CV83" s="16">
        <v>3.0285864930592488E-2</v>
      </c>
      <c r="CW83" s="16">
        <v>3.4003329637451785E-2</v>
      </c>
      <c r="CX83" s="16">
        <v>1.0050192570468464E-2</v>
      </c>
      <c r="CY83" s="16">
        <v>5.121180329776498E-2</v>
      </c>
      <c r="CZ83" s="16">
        <v>4.7183686415853687E-3</v>
      </c>
      <c r="DA83" s="16">
        <v>2.6316747472540092E-2</v>
      </c>
      <c r="DB83" s="16">
        <v>3.2626839856015111E-2</v>
      </c>
      <c r="DC83" s="16">
        <v>1.3988207963649635E-2</v>
      </c>
      <c r="DD83" s="16">
        <v>1.8425100391546434E-2</v>
      </c>
      <c r="DE83" s="16">
        <v>2.4215530258772322E-2</v>
      </c>
      <c r="DF83" s="16">
        <v>1.6977910101918958E-2</v>
      </c>
      <c r="DG83" s="16">
        <v>4.0109195498426509E-2</v>
      </c>
      <c r="DH83" s="16">
        <v>3.8658163813378499E-2</v>
      </c>
      <c r="DI83" s="16">
        <v>1.5800768868177051E-2</v>
      </c>
      <c r="DJ83" s="16">
        <v>1.121931366101947E-2</v>
      </c>
      <c r="DK83" s="16">
        <v>1.4657259830720082E-2</v>
      </c>
      <c r="DL83" s="16">
        <v>8.3941625984165213E-3</v>
      </c>
      <c r="DM83" s="16">
        <v>9.8723926348524005E-3</v>
      </c>
      <c r="DN83" s="16">
        <v>3.8196671734048726E-3</v>
      </c>
    </row>
    <row r="84" spans="4:118" x14ac:dyDescent="0.2">
      <c r="D84" s="13">
        <v>76</v>
      </c>
      <c r="E84" s="14">
        <f>1-IFERROR(_xlfn.LOGNORM.DIST(D84,Parameter!$G$6,Parameter!$G$7,TRUE),0)</f>
        <v>2.1907529973293371E-2</v>
      </c>
      <c r="F84" s="15">
        <f t="shared" si="2"/>
        <v>5.6858141014844661E-2</v>
      </c>
      <c r="G84" s="15">
        <f t="shared" si="3"/>
        <v>3.4754372010166955E-3</v>
      </c>
      <c r="R84" s="14">
        <f ca="1">1-IFERROR(_xlfn.LOGNORM.DIST($D84,Parameter!$E$6,Parameter!$E$7,TRUE),0)</f>
        <v>2.0546070036997155E-2</v>
      </c>
      <c r="S84" s="16">
        <v>7.7910297549348417E-3</v>
      </c>
      <c r="T84" s="16">
        <v>7.534277286380453E-3</v>
      </c>
      <c r="U84" s="16">
        <v>2.5311772692733214E-2</v>
      </c>
      <c r="V84" s="16">
        <v>5.0198311059405309E-2</v>
      </c>
      <c r="W84" s="16">
        <v>1.4780175581992627E-2</v>
      </c>
      <c r="X84" s="16">
        <v>1.0869462730128232E-2</v>
      </c>
      <c r="Y84" s="16">
        <v>5.725031060112129E-3</v>
      </c>
      <c r="Z84" s="16">
        <v>1.9062583200670558E-2</v>
      </c>
      <c r="AA84" s="16">
        <v>3.7208857562437303E-2</v>
      </c>
      <c r="AB84" s="16">
        <v>3.0331476155570747E-2</v>
      </c>
      <c r="AC84" s="16">
        <v>1.8390041325013096E-2</v>
      </c>
      <c r="AD84" s="16">
        <v>1.8582315561322837E-2</v>
      </c>
      <c r="AE84" s="16">
        <v>2.0741933766133536E-2</v>
      </c>
      <c r="AF84" s="16">
        <v>2.8688235370245119E-2</v>
      </c>
      <c r="AG84" s="16">
        <v>1.6250559320900915E-2</v>
      </c>
      <c r="AH84" s="16">
        <v>2.9925652160239791E-2</v>
      </c>
      <c r="AI84" s="16">
        <v>7.7356666497988558E-3</v>
      </c>
      <c r="AJ84" s="16">
        <v>7.2028562394116369E-3</v>
      </c>
      <c r="AK84" s="16">
        <v>3.5920540453356908E-2</v>
      </c>
      <c r="AL84" s="16">
        <v>1.7996817862490189E-2</v>
      </c>
      <c r="AM84" s="16">
        <v>3.6056221705063063E-3</v>
      </c>
      <c r="AN84" s="16">
        <v>5.1869561713522749E-2</v>
      </c>
      <c r="AO84" s="16">
        <v>1.1113794862287141E-2</v>
      </c>
      <c r="AP84" s="16">
        <v>2.7628707076336911E-2</v>
      </c>
      <c r="AQ84" s="16">
        <v>2.2151278302799393E-2</v>
      </c>
      <c r="AR84" s="16">
        <v>1.469053897952477E-2</v>
      </c>
      <c r="AS84" s="16">
        <v>2.1136888358479489E-2</v>
      </c>
      <c r="AT84" s="16">
        <v>3.5481371439622267E-2</v>
      </c>
      <c r="AU84" s="16">
        <v>5.0598674907552321E-2</v>
      </c>
      <c r="AV84" s="16">
        <v>2.3474675319333671E-2</v>
      </c>
      <c r="AW84" s="16">
        <v>3.0786576100680252E-2</v>
      </c>
      <c r="AX84" s="16">
        <v>6.726484115161746E-3</v>
      </c>
      <c r="AY84" s="16">
        <v>1.7459571688620446E-2</v>
      </c>
      <c r="AZ84" s="16">
        <v>1.9045344951260867E-2</v>
      </c>
      <c r="BA84" s="16">
        <v>2.9265186668050114E-2</v>
      </c>
      <c r="BB84" s="16">
        <v>1.3537446998367897E-2</v>
      </c>
      <c r="BC84" s="16">
        <v>2.9188804428867066E-2</v>
      </c>
      <c r="BD84" s="16">
        <v>1.6121739623775722E-2</v>
      </c>
      <c r="BE84" s="16">
        <v>2.9200059748774043E-2</v>
      </c>
      <c r="BF84" s="16">
        <v>4.836243441773358E-3</v>
      </c>
      <c r="BG84" s="16">
        <v>2.9686120535961535E-2</v>
      </c>
      <c r="BH84" s="16">
        <v>2.8895112873400297E-2</v>
      </c>
      <c r="BI84" s="16">
        <v>2.477204274539746E-2</v>
      </c>
      <c r="BJ84" s="16">
        <v>3.0283625658429791E-2</v>
      </c>
      <c r="BK84" s="16">
        <v>2.2147376496950644E-2</v>
      </c>
      <c r="BL84" s="16">
        <v>3.3382058609006227E-2</v>
      </c>
      <c r="BM84" s="16">
        <v>2.9838109603202767E-2</v>
      </c>
      <c r="BN84" s="16">
        <v>1.4328192711595356E-2</v>
      </c>
      <c r="BO84" s="16">
        <v>2.5174726552024129E-2</v>
      </c>
      <c r="BP84" s="16">
        <v>6.1371617525564637E-2</v>
      </c>
      <c r="BQ84" s="16">
        <v>2.4337039337547717E-2</v>
      </c>
      <c r="BR84" s="16">
        <v>1.3788135538316704E-2</v>
      </c>
      <c r="BS84" s="16">
        <v>2.2141846737040671E-2</v>
      </c>
      <c r="BT84" s="16">
        <v>3.8232130552688703E-2</v>
      </c>
      <c r="BU84" s="16">
        <v>2.9482987757550871E-3</v>
      </c>
      <c r="BV84" s="16">
        <v>7.1956641090076934E-2</v>
      </c>
      <c r="BW84" s="16">
        <v>2.2268088968858901E-2</v>
      </c>
      <c r="BX84" s="16">
        <v>3.6684398147031172E-2</v>
      </c>
      <c r="BY84" s="16">
        <v>4.509994917936111E-2</v>
      </c>
      <c r="BZ84" s="16">
        <v>1.3612811864132768E-2</v>
      </c>
      <c r="CA84" s="16">
        <v>7.5841347002381099E-4</v>
      </c>
      <c r="CB84" s="16">
        <v>6.5999446717772914E-2</v>
      </c>
      <c r="CC84" s="16">
        <v>2.3458414783327219E-2</v>
      </c>
      <c r="CD84" s="16">
        <v>3.7126958785509312E-2</v>
      </c>
      <c r="CE84" s="16">
        <v>2.7256638933660482E-2</v>
      </c>
      <c r="CF84" s="16">
        <v>1.9643009901963104E-2</v>
      </c>
      <c r="CG84" s="16">
        <v>2.0922924919344221E-2</v>
      </c>
      <c r="CH84" s="16">
        <v>4.565317701172078E-3</v>
      </c>
      <c r="CI84" s="16">
        <v>9.6969214177824448E-3</v>
      </c>
      <c r="CJ84" s="16">
        <v>4.2814169895757148E-2</v>
      </c>
      <c r="CK84" s="16">
        <v>7.6306927738301056E-3</v>
      </c>
      <c r="CL84" s="16">
        <v>1.5829154126402623E-2</v>
      </c>
      <c r="CM84" s="16">
        <v>7.3857394795027176E-3</v>
      </c>
      <c r="CN84" s="16">
        <v>3.046871800635198E-2</v>
      </c>
      <c r="CO84" s="16">
        <v>4.180762216804168E-2</v>
      </c>
      <c r="CP84" s="16">
        <v>8.240095086066157E-3</v>
      </c>
      <c r="CQ84" s="16">
        <v>2.0232046663757774E-2</v>
      </c>
      <c r="CR84" s="16">
        <v>1.4964881773257388E-2</v>
      </c>
      <c r="CS84" s="16">
        <v>4.1624235111923369E-3</v>
      </c>
      <c r="CT84" s="16">
        <v>2.7858098482943294E-2</v>
      </c>
      <c r="CU84" s="16">
        <v>3.357650800049905E-3</v>
      </c>
      <c r="CV84" s="16">
        <v>3.0004204987704064E-2</v>
      </c>
      <c r="CW84" s="16">
        <v>3.3688312994702874E-2</v>
      </c>
      <c r="CX84" s="16">
        <v>9.9295201019712342E-3</v>
      </c>
      <c r="CY84" s="16">
        <v>5.077978850923226E-2</v>
      </c>
      <c r="CZ84" s="16">
        <v>4.6360403466614297E-3</v>
      </c>
      <c r="DA84" s="16">
        <v>2.6080028537617483E-2</v>
      </c>
      <c r="DB84" s="16">
        <v>3.2252798720597609E-2</v>
      </c>
      <c r="DC84" s="16">
        <v>1.379466587935041E-2</v>
      </c>
      <c r="DD84" s="16">
        <v>1.8178110278816662E-2</v>
      </c>
      <c r="DE84" s="16">
        <v>2.3955394968844135E-2</v>
      </c>
      <c r="DF84" s="16">
        <v>1.6793344395520937E-2</v>
      </c>
      <c r="DG84" s="16">
        <v>3.9775376676687624E-2</v>
      </c>
      <c r="DH84" s="16">
        <v>3.8307217476413746E-2</v>
      </c>
      <c r="DI84" s="16">
        <v>1.5612809892268542E-2</v>
      </c>
      <c r="DJ84" s="16">
        <v>1.1067181645623925E-2</v>
      </c>
      <c r="DK84" s="16">
        <v>1.4490079931071764E-2</v>
      </c>
      <c r="DL84" s="16">
        <v>8.2865872779630534E-3</v>
      </c>
      <c r="DM84" s="16">
        <v>9.7384543015752723E-3</v>
      </c>
      <c r="DN84" s="16">
        <v>3.754340675990564E-3</v>
      </c>
    </row>
    <row r="85" spans="4:118" x14ac:dyDescent="0.2">
      <c r="D85" s="13">
        <v>77</v>
      </c>
      <c r="E85" s="14">
        <f>1-IFERROR(_xlfn.LOGNORM.DIST(D85,Parameter!$G$6,Parameter!$G$7,TRUE),0)</f>
        <v>2.1673702812337381E-2</v>
      </c>
      <c r="F85" s="15">
        <f t="shared" si="2"/>
        <v>5.6440153694451468E-2</v>
      </c>
      <c r="G85" s="15">
        <f t="shared" si="3"/>
        <v>3.4142715116633306E-3</v>
      </c>
      <c r="R85" s="14">
        <f ca="1">1-IFERROR(_xlfn.LOGNORM.DIST($D85,Parameter!$E$6,Parameter!$E$7,TRUE),0)</f>
        <v>2.0312067579616344E-2</v>
      </c>
      <c r="S85" s="16">
        <v>7.6913145485628664E-3</v>
      </c>
      <c r="T85" s="16">
        <v>7.4294144474735813E-3</v>
      </c>
      <c r="U85" s="16">
        <v>2.5023788191176677E-2</v>
      </c>
      <c r="V85" s="16">
        <v>4.9786443130872993E-2</v>
      </c>
      <c r="W85" s="16">
        <v>1.4615565420525778E-2</v>
      </c>
      <c r="X85" s="16">
        <v>1.0717597698473358E-2</v>
      </c>
      <c r="Y85" s="16">
        <v>5.6400268665680597E-3</v>
      </c>
      <c r="Z85" s="16">
        <v>1.8872018169334703E-2</v>
      </c>
      <c r="AA85" s="16">
        <v>3.6880526035528383E-2</v>
      </c>
      <c r="AB85" s="16">
        <v>3.0002670545967947E-2</v>
      </c>
      <c r="AC85" s="16">
        <v>1.8182617587268135E-2</v>
      </c>
      <c r="AD85" s="16">
        <v>1.8375136351464927E-2</v>
      </c>
      <c r="AE85" s="16">
        <v>2.0518478503237403E-2</v>
      </c>
      <c r="AF85" s="16">
        <v>2.8400683158401274E-2</v>
      </c>
      <c r="AG85" s="16">
        <v>1.6018252313371839E-2</v>
      </c>
      <c r="AH85" s="16">
        <v>2.9658192255216043E-2</v>
      </c>
      <c r="AI85" s="16">
        <v>7.6315069067141028E-3</v>
      </c>
      <c r="AJ85" s="16">
        <v>7.0975993411673821E-3</v>
      </c>
      <c r="AK85" s="16">
        <v>3.5628442674852545E-2</v>
      </c>
      <c r="AL85" s="16">
        <v>1.7803837054955918E-2</v>
      </c>
      <c r="AM85" s="16">
        <v>3.5411460920858895E-3</v>
      </c>
      <c r="AN85" s="16">
        <v>5.145358352235474E-2</v>
      </c>
      <c r="AO85" s="16">
        <v>1.0973546573365134E-2</v>
      </c>
      <c r="AP85" s="16">
        <v>2.7382630753560178E-2</v>
      </c>
      <c r="AQ85" s="16">
        <v>2.194164471534521E-2</v>
      </c>
      <c r="AR85" s="16">
        <v>1.449905309237487E-2</v>
      </c>
      <c r="AS85" s="16">
        <v>2.0909727839382275E-2</v>
      </c>
      <c r="AT85" s="16">
        <v>3.5163882635651733E-2</v>
      </c>
      <c r="AU85" s="16">
        <v>5.0188462771895148E-2</v>
      </c>
      <c r="AV85" s="16">
        <v>2.3209675881502245E-2</v>
      </c>
      <c r="AW85" s="16">
        <v>3.0524768094151944E-2</v>
      </c>
      <c r="AX85" s="16">
        <v>6.6273467861022173E-3</v>
      </c>
      <c r="AY85" s="16">
        <v>1.7235876211492362E-2</v>
      </c>
      <c r="AZ85" s="16">
        <v>1.8841138789946976E-2</v>
      </c>
      <c r="BA85" s="16">
        <v>2.893333299156009E-2</v>
      </c>
      <c r="BB85" s="16">
        <v>1.3366669127879982E-2</v>
      </c>
      <c r="BC85" s="16">
        <v>2.886914130998286E-2</v>
      </c>
      <c r="BD85" s="16">
        <v>1.595794034616016E-2</v>
      </c>
      <c r="BE85" s="16">
        <v>2.8913369628287056E-2</v>
      </c>
      <c r="BF85" s="16">
        <v>4.7563435488655603E-3</v>
      </c>
      <c r="BG85" s="16">
        <v>2.9360882706059077E-2</v>
      </c>
      <c r="BH85" s="16">
        <v>2.8625168479717522E-2</v>
      </c>
      <c r="BI85" s="16">
        <v>2.4535204965329793E-2</v>
      </c>
      <c r="BJ85" s="16">
        <v>2.9992758936228325E-2</v>
      </c>
      <c r="BK85" s="16">
        <v>2.1929585063757084E-2</v>
      </c>
      <c r="BL85" s="16">
        <v>3.3037618323616957E-2</v>
      </c>
      <c r="BM85" s="16">
        <v>2.955086707945398E-2</v>
      </c>
      <c r="BN85" s="16">
        <v>1.4143926898266268E-2</v>
      </c>
      <c r="BO85" s="16">
        <v>2.4925876361582278E-2</v>
      </c>
      <c r="BP85" s="16">
        <v>6.095181242158676E-2</v>
      </c>
      <c r="BQ85" s="16">
        <v>2.4107231051264999E-2</v>
      </c>
      <c r="BR85" s="16">
        <v>1.3614043969716882E-2</v>
      </c>
      <c r="BS85" s="16">
        <v>2.1931033776650843E-2</v>
      </c>
      <c r="BT85" s="16">
        <v>3.7849259956790338E-2</v>
      </c>
      <c r="BU85" s="16">
        <v>2.8946039261003031E-3</v>
      </c>
      <c r="BV85" s="16">
        <v>7.1476432808249779E-2</v>
      </c>
      <c r="BW85" s="16">
        <v>2.2028127973368061E-2</v>
      </c>
      <c r="BX85" s="16">
        <v>3.6315696189611613E-2</v>
      </c>
      <c r="BY85" s="16">
        <v>4.4742296432487727E-2</v>
      </c>
      <c r="BZ85" s="16">
        <v>1.3428753807232852E-2</v>
      </c>
      <c r="CA85" s="16">
        <v>7.4078734834170934E-4</v>
      </c>
      <c r="CB85" s="16">
        <v>6.5479673988519504E-2</v>
      </c>
      <c r="CC85" s="16">
        <v>2.3191143615524989E-2</v>
      </c>
      <c r="CD85" s="16">
        <v>3.6796257690709044E-2</v>
      </c>
      <c r="CE85" s="16">
        <v>2.6996144328689464E-2</v>
      </c>
      <c r="CF85" s="16">
        <v>1.9432059212769914E-2</v>
      </c>
      <c r="CG85" s="16">
        <v>2.0686620292716174E-2</v>
      </c>
      <c r="CH85" s="16">
        <v>4.4918648105107817E-3</v>
      </c>
      <c r="CI85" s="16">
        <v>9.5854969882205321E-3</v>
      </c>
      <c r="CJ85" s="16">
        <v>4.2451969866267425E-2</v>
      </c>
      <c r="CK85" s="16">
        <v>7.5198236668010399E-3</v>
      </c>
      <c r="CL85" s="16">
        <v>1.5633502246838682E-2</v>
      </c>
      <c r="CM85" s="16">
        <v>7.285473656958974E-3</v>
      </c>
      <c r="CN85" s="16">
        <v>3.0192852028774642E-2</v>
      </c>
      <c r="CO85" s="16">
        <v>4.1441472984676375E-2</v>
      </c>
      <c r="CP85" s="16">
        <v>8.1213921327375482E-3</v>
      </c>
      <c r="CQ85" s="16">
        <v>2.0012899590961197E-2</v>
      </c>
      <c r="CR85" s="16">
        <v>1.4790685511741675E-2</v>
      </c>
      <c r="CS85" s="16">
        <v>4.0963106655108605E-3</v>
      </c>
      <c r="CT85" s="16">
        <v>2.7518786377972115E-2</v>
      </c>
      <c r="CU85" s="16">
        <v>3.2994802246143484E-3</v>
      </c>
      <c r="CV85" s="16">
        <v>2.9728360175579227E-2</v>
      </c>
      <c r="CW85" s="16">
        <v>3.3379772954477693E-2</v>
      </c>
      <c r="CX85" s="16">
        <v>9.8116673382036002E-3</v>
      </c>
      <c r="CY85" s="16">
        <v>5.0356271401375996E-2</v>
      </c>
      <c r="CZ85" s="16">
        <v>4.5560475399608613E-3</v>
      </c>
      <c r="DA85" s="16">
        <v>2.5848152728154106E-2</v>
      </c>
      <c r="DB85" s="16">
        <v>3.1887124269925571E-2</v>
      </c>
      <c r="DC85" s="16">
        <v>1.3605922845061902E-2</v>
      </c>
      <c r="DD85" s="16">
        <v>1.793712112860113E-2</v>
      </c>
      <c r="DE85" s="16">
        <v>2.3700966861987638E-2</v>
      </c>
      <c r="DF85" s="16">
        <v>1.6612876745921268E-2</v>
      </c>
      <c r="DG85" s="16">
        <v>3.9448139738458066E-2</v>
      </c>
      <c r="DH85" s="16">
        <v>3.7963410022501698E-2</v>
      </c>
      <c r="DI85" s="16">
        <v>1.5429192329456831E-2</v>
      </c>
      <c r="DJ85" s="16">
        <v>1.0918800722690802E-2</v>
      </c>
      <c r="DK85" s="16">
        <v>1.4326697408442612E-2</v>
      </c>
      <c r="DL85" s="16">
        <v>8.1816072298919185E-3</v>
      </c>
      <c r="DM85" s="16">
        <v>9.6078261197681813E-3</v>
      </c>
      <c r="DN85" s="16">
        <v>3.6908522402548938E-3</v>
      </c>
    </row>
    <row r="86" spans="4:118" x14ac:dyDescent="0.2">
      <c r="D86" s="13">
        <v>78</v>
      </c>
      <c r="E86" s="14">
        <f>1-IFERROR(_xlfn.LOGNORM.DIST(D86,Parameter!$G$6,Parameter!$G$7,TRUE),0)</f>
        <v>2.1444964332848149E-2</v>
      </c>
      <c r="F86" s="15">
        <f t="shared" si="2"/>
        <v>5.6029955558107698E-2</v>
      </c>
      <c r="G86" s="15">
        <f t="shared" si="3"/>
        <v>3.3548456818991461E-3</v>
      </c>
      <c r="R86" s="14">
        <f ca="1">1-IFERROR(_xlfn.LOGNORM.DIST($D86,Parameter!$E$6,Parameter!$E$7,TRUE),0)</f>
        <v>2.0083304140279146E-2</v>
      </c>
      <c r="S86" s="16">
        <v>7.5939894954584197E-3</v>
      </c>
      <c r="T86" s="16">
        <v>7.3271681081371609E-3</v>
      </c>
      <c r="U86" s="16">
        <v>2.4742218671513383E-2</v>
      </c>
      <c r="V86" s="16">
        <v>4.9382538059547287E-2</v>
      </c>
      <c r="W86" s="16">
        <v>1.4454628894516319E-2</v>
      </c>
      <c r="X86" s="16">
        <v>1.0569507609446416E-2</v>
      </c>
      <c r="Y86" s="16">
        <v>5.5572205254684759E-3</v>
      </c>
      <c r="Z86" s="16">
        <v>1.8685503989667285E-2</v>
      </c>
      <c r="AA86" s="16">
        <v>3.6558758146442161E-2</v>
      </c>
      <c r="AB86" s="16">
        <v>2.9681011959050263E-2</v>
      </c>
      <c r="AC86" s="16">
        <v>1.7979829123873858E-2</v>
      </c>
      <c r="AD86" s="16">
        <v>1.8172563440019385E-2</v>
      </c>
      <c r="AE86" s="16">
        <v>2.0299910277779221E-2</v>
      </c>
      <c r="AF86" s="16">
        <v>2.8119197509779648E-2</v>
      </c>
      <c r="AG86" s="16">
        <v>1.5791740328748194E-2</v>
      </c>
      <c r="AH86" s="16">
        <v>2.939613201822755E-2</v>
      </c>
      <c r="AI86" s="16">
        <v>7.5299042262447768E-3</v>
      </c>
      <c r="AJ86" s="16">
        <v>6.9950339876877488E-3</v>
      </c>
      <c r="AK86" s="16">
        <v>3.5342026288766482E-2</v>
      </c>
      <c r="AL86" s="16">
        <v>1.7615080457797472E-2</v>
      </c>
      <c r="AM86" s="16">
        <v>3.4785191621916622E-3</v>
      </c>
      <c r="AN86" s="16">
        <v>5.1045579257096518E-2</v>
      </c>
      <c r="AO86" s="16">
        <v>1.0836620662171503E-2</v>
      </c>
      <c r="AP86" s="16">
        <v>2.7141524915447968E-2</v>
      </c>
      <c r="AQ86" s="16">
        <v>2.1736361459144371E-2</v>
      </c>
      <c r="AR86" s="16">
        <v>1.4312148993589013E-2</v>
      </c>
      <c r="AS86" s="16">
        <v>2.0687528548235523E-2</v>
      </c>
      <c r="AT86" s="16">
        <v>3.4852780195386179E-2</v>
      </c>
      <c r="AU86" s="16">
        <v>4.978614812038884E-2</v>
      </c>
      <c r="AV86" s="16">
        <v>2.2950570202534881E-2</v>
      </c>
      <c r="AW86" s="16">
        <v>3.0268149692981083E-2</v>
      </c>
      <c r="AX86" s="16">
        <v>6.5307577449577048E-3</v>
      </c>
      <c r="AY86" s="16">
        <v>1.7017473170080732E-2</v>
      </c>
      <c r="AZ86" s="16">
        <v>1.8641397557227934E-2</v>
      </c>
      <c r="BA86" s="16">
        <v>2.8608834763664159E-2</v>
      </c>
      <c r="BB86" s="16">
        <v>1.319992279955029E-2</v>
      </c>
      <c r="BC86" s="16">
        <v>2.8556462350409983E-2</v>
      </c>
      <c r="BD86" s="16">
        <v>1.5797655939731925E-2</v>
      </c>
      <c r="BE86" s="16">
        <v>2.8632677187474198E-2</v>
      </c>
      <c r="BF86" s="16">
        <v>4.6786312865243485E-3</v>
      </c>
      <c r="BG86" s="16">
        <v>2.9042748945447894E-2</v>
      </c>
      <c r="BH86" s="16">
        <v>2.8360767636291473E-2</v>
      </c>
      <c r="BI86" s="16">
        <v>2.4303289911219772E-2</v>
      </c>
      <c r="BJ86" s="16">
        <v>2.9707921296001527E-2</v>
      </c>
      <c r="BK86" s="16">
        <v>2.1716380240263122E-2</v>
      </c>
      <c r="BL86" s="16">
        <v>3.2700499919295911E-2</v>
      </c>
      <c r="BM86" s="16">
        <v>2.9269585762122907E-2</v>
      </c>
      <c r="BN86" s="16">
        <v>1.3964044923438168E-2</v>
      </c>
      <c r="BO86" s="16">
        <v>2.4682263414789629E-2</v>
      </c>
      <c r="BP86" s="16">
        <v>6.0539629354260827E-2</v>
      </c>
      <c r="BQ86" s="16">
        <v>2.3882178740355586E-2</v>
      </c>
      <c r="BR86" s="16">
        <v>1.3444062448054295E-2</v>
      </c>
      <c r="BS86" s="16">
        <v>2.1724605695957022E-2</v>
      </c>
      <c r="BT86" s="16">
        <v>3.7474404154706376E-2</v>
      </c>
      <c r="BU86" s="16">
        <v>2.842468262506892E-3</v>
      </c>
      <c r="BV86" s="16">
        <v>7.1004836647639569E-2</v>
      </c>
      <c r="BW86" s="16">
        <v>2.1793407825902333E-2</v>
      </c>
      <c r="BX86" s="16">
        <v>3.5954732163409608E-2</v>
      </c>
      <c r="BY86" s="16">
        <v>4.439150217123955E-2</v>
      </c>
      <c r="BZ86" s="16">
        <v>1.3249182122650804E-2</v>
      </c>
      <c r="CA86" s="16">
        <v>7.237595618233561E-4</v>
      </c>
      <c r="CB86" s="16">
        <v>6.4969727170080427E-2</v>
      </c>
      <c r="CC86" s="16">
        <v>2.2929840019411674E-2</v>
      </c>
      <c r="CD86" s="16">
        <v>3.647219015640768E-2</v>
      </c>
      <c r="CE86" s="16">
        <v>2.674105219685996E-2</v>
      </c>
      <c r="CF86" s="16">
        <v>1.9225721152096309E-2</v>
      </c>
      <c r="CG86" s="16">
        <v>2.0455585459037695E-2</v>
      </c>
      <c r="CH86" s="16">
        <v>4.420396606776511E-3</v>
      </c>
      <c r="CI86" s="16">
        <v>9.4766095519812632E-3</v>
      </c>
      <c r="CJ86" s="16">
        <v>4.2096878012910177E-2</v>
      </c>
      <c r="CK86" s="16">
        <v>7.4117791991297199E-3</v>
      </c>
      <c r="CL86" s="16">
        <v>1.5442413628079854E-2</v>
      </c>
      <c r="CM86" s="16">
        <v>7.187680526896667E-3</v>
      </c>
      <c r="CN86" s="16">
        <v>2.9922579391621573E-2</v>
      </c>
      <c r="CO86" s="16">
        <v>4.1082601271355212E-2</v>
      </c>
      <c r="CP86" s="16">
        <v>8.0056972501263424E-3</v>
      </c>
      <c r="CQ86" s="16">
        <v>1.9798558470858318E-2</v>
      </c>
      <c r="CR86" s="16">
        <v>1.4620450179383293E-2</v>
      </c>
      <c r="CS86" s="16">
        <v>4.0319741670552522E-3</v>
      </c>
      <c r="CT86" s="16">
        <v>2.7187238700856375E-2</v>
      </c>
      <c r="CU86" s="16">
        <v>3.2429506283011555E-3</v>
      </c>
      <c r="CV86" s="16">
        <v>2.9458141670952065E-2</v>
      </c>
      <c r="CW86" s="16">
        <v>3.3077499949915379E-2</v>
      </c>
      <c r="CX86" s="16">
        <v>9.6965353288472889E-3</v>
      </c>
      <c r="CY86" s="16">
        <v>4.9940984518241138E-2</v>
      </c>
      <c r="CZ86" s="16">
        <v>4.4782976589237133E-3</v>
      </c>
      <c r="DA86" s="16">
        <v>2.5620963301444921E-2</v>
      </c>
      <c r="DB86" s="16">
        <v>3.1529533488242278E-2</v>
      </c>
      <c r="DC86" s="16">
        <v>1.3421805140136134E-2</v>
      </c>
      <c r="DD86" s="16">
        <v>1.7701918898485491E-2</v>
      </c>
      <c r="DE86" s="16">
        <v>2.3452054097874098E-2</v>
      </c>
      <c r="DF86" s="16">
        <v>1.6436368002374802E-2</v>
      </c>
      <c r="DG86" s="16">
        <v>3.9127276599446481E-2</v>
      </c>
      <c r="DH86" s="16">
        <v>3.7626512075744079E-2</v>
      </c>
      <c r="DI86" s="16">
        <v>1.5249765403396509E-2</v>
      </c>
      <c r="DJ86" s="16">
        <v>1.0774035246456704E-2</v>
      </c>
      <c r="DK86" s="16">
        <v>1.4166981516906096E-2</v>
      </c>
      <c r="DL86" s="16">
        <v>8.0791295628429571E-3</v>
      </c>
      <c r="DM86" s="16">
        <v>9.4803880909073435E-3</v>
      </c>
      <c r="DN86" s="16">
        <v>3.6291292765429084E-3</v>
      </c>
    </row>
    <row r="87" spans="4:118" x14ac:dyDescent="0.2">
      <c r="D87" s="13">
        <v>79</v>
      </c>
      <c r="E87" s="14">
        <f>1-IFERROR(_xlfn.LOGNORM.DIST(D87,Parameter!$G$6,Parameter!$G$7,TRUE),0)</f>
        <v>2.1221145028105015E-2</v>
      </c>
      <c r="F87" s="15">
        <f t="shared" si="2"/>
        <v>5.562730957025927E-2</v>
      </c>
      <c r="G87" s="15">
        <f t="shared" si="3"/>
        <v>3.297090802978242E-3</v>
      </c>
      <c r="R87" s="14">
        <f ca="1">1-IFERROR(_xlfn.LOGNORM.DIST($D87,Parameter!$E$6,Parameter!$E$7,TRUE),0)</f>
        <v>1.9859602366091411E-2</v>
      </c>
      <c r="S87" s="16">
        <v>7.4989697668134125E-3</v>
      </c>
      <c r="T87" s="16">
        <v>7.2274431638795766E-3</v>
      </c>
      <c r="U87" s="16">
        <v>2.4466848110431205E-2</v>
      </c>
      <c r="V87" s="16">
        <v>4.8986348852778971E-2</v>
      </c>
      <c r="W87" s="16">
        <v>1.4297241460321963E-2</v>
      </c>
      <c r="X87" s="16">
        <v>1.0425055989125576E-2</v>
      </c>
      <c r="Y87" s="16">
        <v>5.4765302616307521E-3</v>
      </c>
      <c r="Z87" s="16">
        <v>1.850290725163839E-2</v>
      </c>
      <c r="AA87" s="16">
        <v>3.6243346051133885E-2</v>
      </c>
      <c r="AB87" s="16">
        <v>2.9366263419790095E-2</v>
      </c>
      <c r="AC87" s="16">
        <v>1.7781518996191736E-2</v>
      </c>
      <c r="AD87" s="16">
        <v>1.7974441322050616E-2</v>
      </c>
      <c r="AE87" s="16">
        <v>2.0086065769418071E-2</v>
      </c>
      <c r="AF87" s="16">
        <v>2.7843580268963719E-2</v>
      </c>
      <c r="AG87" s="16">
        <v>1.5570814360312379E-2</v>
      </c>
      <c r="AH87" s="16">
        <v>2.9139299169269717E-2</v>
      </c>
      <c r="AI87" s="16">
        <v>7.4307665704662629E-3</v>
      </c>
      <c r="AJ87" s="16">
        <v>6.8950608733528984E-3</v>
      </c>
      <c r="AK87" s="16">
        <v>3.5061113801942989E-2</v>
      </c>
      <c r="AL87" s="16">
        <v>1.7430406636957163E-2</v>
      </c>
      <c r="AM87" s="16">
        <v>3.4176677839686809E-3</v>
      </c>
      <c r="AN87" s="16">
        <v>5.0645302725284558E-2</v>
      </c>
      <c r="AO87" s="16">
        <v>1.070290034024679E-2</v>
      </c>
      <c r="AP87" s="16">
        <v>2.6905230804469493E-2</v>
      </c>
      <c r="AQ87" s="16">
        <v>2.153528729280807E-2</v>
      </c>
      <c r="AR87" s="16">
        <v>1.4129665129175129E-2</v>
      </c>
      <c r="AS87" s="16">
        <v>2.0470124842056348E-2</v>
      </c>
      <c r="AT87" s="16">
        <v>3.454786113045083E-2</v>
      </c>
      <c r="AU87" s="16">
        <v>4.9391486519377858E-2</v>
      </c>
      <c r="AV87" s="16">
        <v>2.2697159791718491E-2</v>
      </c>
      <c r="AW87" s="16">
        <v>3.0016556929228999E-2</v>
      </c>
      <c r="AX87" s="16">
        <v>6.4366226269371163E-3</v>
      </c>
      <c r="AY87" s="16">
        <v>1.6804177493525252E-2</v>
      </c>
      <c r="AZ87" s="16">
        <v>1.8445971931616567E-2</v>
      </c>
      <c r="BA87" s="16">
        <v>2.8291445439496909E-2</v>
      </c>
      <c r="BB87" s="16">
        <v>1.3037066831194211E-2</v>
      </c>
      <c r="BC87" s="16">
        <v>2.8250535220773809E-2</v>
      </c>
      <c r="BD87" s="16">
        <v>1.5640769884648797E-2</v>
      </c>
      <c r="BE87" s="16">
        <v>2.8357787426009806E-2</v>
      </c>
      <c r="BF87" s="16">
        <v>4.6030222561943557E-3</v>
      </c>
      <c r="BG87" s="16">
        <v>2.873148302430828E-2</v>
      </c>
      <c r="BH87" s="16">
        <v>2.8101731827992915E-2</v>
      </c>
      <c r="BI87" s="16">
        <v>2.4076137792909291E-2</v>
      </c>
      <c r="BJ87" s="16">
        <v>2.9428917745198624E-2</v>
      </c>
      <c r="BK87" s="16">
        <v>2.150761193732742E-2</v>
      </c>
      <c r="BL87" s="16">
        <v>3.2370463762150026E-2</v>
      </c>
      <c r="BM87" s="16">
        <v>2.8994072697918538E-2</v>
      </c>
      <c r="BN87" s="16">
        <v>1.3788392675668892E-2</v>
      </c>
      <c r="BO87" s="16">
        <v>2.4443716613525401E-2</v>
      </c>
      <c r="BP87" s="16">
        <v>6.0134839572855592E-2</v>
      </c>
      <c r="BQ87" s="16">
        <v>2.366172835437419E-2</v>
      </c>
      <c r="BR87" s="16">
        <v>1.3278047062024512E-2</v>
      </c>
      <c r="BS87" s="16">
        <v>2.1522419956389149E-2</v>
      </c>
      <c r="BT87" s="16">
        <v>3.7107303418562387E-2</v>
      </c>
      <c r="BU87" s="16">
        <v>2.7918291508289839E-3</v>
      </c>
      <c r="BV87" s="16">
        <v>7.0541596209186652E-2</v>
      </c>
      <c r="BW87" s="16">
        <v>2.1563753644399553E-2</v>
      </c>
      <c r="BX87" s="16">
        <v>3.5601254829268347E-2</v>
      </c>
      <c r="BY87" s="16">
        <v>4.4047354202801481E-2</v>
      </c>
      <c r="BZ87" s="16">
        <v>1.3073936808916442E-2</v>
      </c>
      <c r="CA87" s="16">
        <v>7.0730325555479201E-4</v>
      </c>
      <c r="CB87" s="16">
        <v>6.446930606932666E-2</v>
      </c>
      <c r="CC87" s="16">
        <v>2.267430259048131E-2</v>
      </c>
      <c r="CD87" s="16">
        <v>3.61545457547916E-2</v>
      </c>
      <c r="CE87" s="16">
        <v>2.6491187554153917E-2</v>
      </c>
      <c r="CF87" s="16">
        <v>1.9023841501597305E-2</v>
      </c>
      <c r="CG87" s="16">
        <v>2.0229642442852636E-2</v>
      </c>
      <c r="CH87" s="16">
        <v>4.3508371112284117E-3</v>
      </c>
      <c r="CI87" s="16">
        <v>9.3701718368076614E-3</v>
      </c>
      <c r="CJ87" s="16">
        <v>4.1748671729986864E-2</v>
      </c>
      <c r="CK87" s="16">
        <v>7.3064554320896313E-3</v>
      </c>
      <c r="CL87" s="16">
        <v>1.525572980401213E-2</v>
      </c>
      <c r="CM87" s="16">
        <v>7.0922708181422323E-3</v>
      </c>
      <c r="CN87" s="16">
        <v>2.9657721272030035E-2</v>
      </c>
      <c r="CO87" s="16">
        <v>4.0730777596810097E-2</v>
      </c>
      <c r="CP87" s="16">
        <v>7.8929001725455139E-3</v>
      </c>
      <c r="CQ87" s="16">
        <v>1.9588862412084684E-2</v>
      </c>
      <c r="CR87" s="16">
        <v>1.4454040098777599E-2</v>
      </c>
      <c r="CS87" s="16">
        <v>3.9693462046141992E-3</v>
      </c>
      <c r="CT87" s="16">
        <v>2.686319052657582E-2</v>
      </c>
      <c r="CU87" s="16">
        <v>3.1879973439868925E-3</v>
      </c>
      <c r="CV87" s="16">
        <v>2.9193369009607228E-2</v>
      </c>
      <c r="CW87" s="16">
        <v>3.278129366423721E-2</v>
      </c>
      <c r="CX87" s="16">
        <v>9.5840297532445717E-3</v>
      </c>
      <c r="CY87" s="16">
        <v>4.9533671977374238E-2</v>
      </c>
      <c r="CZ87" s="16">
        <v>4.4027028556222758E-3</v>
      </c>
      <c r="DA87" s="16">
        <v>2.5398310445396866E-2</v>
      </c>
      <c r="DB87" s="16">
        <v>3.1179756194324337E-2</v>
      </c>
      <c r="DC87" s="16">
        <v>1.3242147321305686E-2</v>
      </c>
      <c r="DD87" s="16">
        <v>1.7472299627607657E-2</v>
      </c>
      <c r="DE87" s="16">
        <v>2.3208473525208939E-2</v>
      </c>
      <c r="DF87" s="16">
        <v>1.6263685370979997E-2</v>
      </c>
      <c r="DG87" s="16">
        <v>3.881258822144007E-2</v>
      </c>
      <c r="DH87" s="16">
        <v>3.7296304331918995E-2</v>
      </c>
      <c r="DI87" s="16">
        <v>1.5074385328326723E-2</v>
      </c>
      <c r="DJ87" s="16">
        <v>1.0632756039498314E-2</v>
      </c>
      <c r="DK87" s="16">
        <v>1.4010807541549264E-2</v>
      </c>
      <c r="DL87" s="16">
        <v>7.9790657920237873E-3</v>
      </c>
      <c r="DM87" s="16">
        <v>9.3560259521856537E-3</v>
      </c>
      <c r="DN87" s="16">
        <v>3.5691028874615949E-3</v>
      </c>
    </row>
    <row r="88" spans="4:118" x14ac:dyDescent="0.2">
      <c r="D88" s="13">
        <v>80</v>
      </c>
      <c r="E88" s="14">
        <f>1-IFERROR(_xlfn.LOGNORM.DIST(D88,Parameter!$G$6,Parameter!$G$7,TRUE),0)</f>
        <v>2.1002082995361548E-2</v>
      </c>
      <c r="F88" s="15">
        <f t="shared" si="2"/>
        <v>5.5231988694313047E-2</v>
      </c>
      <c r="G88" s="15">
        <f t="shared" si="3"/>
        <v>3.2409414661623446E-3</v>
      </c>
      <c r="R88" s="14">
        <f ca="1">1-IFERROR(_xlfn.LOGNORM.DIST($D88,Parameter!$E$6,Parameter!$E$7,TRUE),0)</f>
        <v>1.964079294437282E-2</v>
      </c>
      <c r="S88" s="16">
        <v>7.406174520146247E-3</v>
      </c>
      <c r="T88" s="16">
        <v>7.1301490513828725E-3</v>
      </c>
      <c r="U88" s="16">
        <v>2.4197470230267637E-2</v>
      </c>
      <c r="V88" s="16">
        <v>4.8597639062646358E-2</v>
      </c>
      <c r="W88" s="16">
        <v>1.4143284237121523E-2</v>
      </c>
      <c r="X88" s="16">
        <v>1.0284112843693571E-2</v>
      </c>
      <c r="Y88" s="16">
        <v>5.3978782712440498E-3</v>
      </c>
      <c r="Z88" s="16">
        <v>1.8324100492127626E-2</v>
      </c>
      <c r="AA88" s="16">
        <v>3.5934090910328287E-2</v>
      </c>
      <c r="AB88" s="16">
        <v>2.9058198526749623E-2</v>
      </c>
      <c r="AC88" s="16">
        <v>1.7587537386323682E-2</v>
      </c>
      <c r="AD88" s="16">
        <v>1.7780621534897234E-2</v>
      </c>
      <c r="AE88" s="16">
        <v>1.9876789001846862E-2</v>
      </c>
      <c r="AF88" s="16">
        <v>2.7573642045768842E-2</v>
      </c>
      <c r="AG88" s="16">
        <v>1.5355275280522274E-2</v>
      </c>
      <c r="AH88" s="16">
        <v>2.8887528937833862E-2</v>
      </c>
      <c r="AI88" s="16">
        <v>7.3340062671786166E-3</v>
      </c>
      <c r="AJ88" s="16">
        <v>6.7975854827545534E-3</v>
      </c>
      <c r="AK88" s="16">
        <v>3.4785535350267738E-2</v>
      </c>
      <c r="AL88" s="16">
        <v>1.7249680531282285E-2</v>
      </c>
      <c r="AM88" s="16">
        <v>3.3585221106287033E-3</v>
      </c>
      <c r="AN88" s="16">
        <v>5.0252518213657726E-2</v>
      </c>
      <c r="AO88" s="16">
        <v>1.0572274263392356E-2</v>
      </c>
      <c r="AP88" s="16">
        <v>2.6673596591089033E-2</v>
      </c>
      <c r="AQ88" s="16">
        <v>2.133828720947728E-2</v>
      </c>
      <c r="AR88" s="16">
        <v>1.3951447478213641E-2</v>
      </c>
      <c r="AS88" s="16">
        <v>2.0257358521008517E-2</v>
      </c>
      <c r="AT88" s="16">
        <v>3.4248931269843741E-2</v>
      </c>
      <c r="AU88" s="16">
        <v>4.9004243956759175E-2</v>
      </c>
      <c r="AV88" s="16">
        <v>2.2449255119059153E-2</v>
      </c>
      <c r="AW88" s="16">
        <v>2.9769832938073892E-2</v>
      </c>
      <c r="AX88" s="16">
        <v>6.3448516318644899E-3</v>
      </c>
      <c r="AY88" s="16">
        <v>1.659581268439958E-2</v>
      </c>
      <c r="AZ88" s="16">
        <v>1.8254719312791767E-2</v>
      </c>
      <c r="BA88" s="16">
        <v>2.7980929550823208E-2</v>
      </c>
      <c r="BB88" s="16">
        <v>1.2877966598451529E-2</v>
      </c>
      <c r="BC88" s="16">
        <v>2.7951137982049512E-2</v>
      </c>
      <c r="BD88" s="16">
        <v>1.5487170881209766E-2</v>
      </c>
      <c r="BE88" s="16">
        <v>2.8088513943697269E-2</v>
      </c>
      <c r="BF88" s="16">
        <v>4.5294362630861063E-3</v>
      </c>
      <c r="BG88" s="16">
        <v>2.8426859273598448E-2</v>
      </c>
      <c r="BH88" s="16">
        <v>2.7847890367151518E-2</v>
      </c>
      <c r="BI88" s="16">
        <v>2.3853595868082444E-2</v>
      </c>
      <c r="BJ88" s="16">
        <v>2.9155561861157198E-2</v>
      </c>
      <c r="BK88" s="16">
        <v>2.1303136723708427E-2</v>
      </c>
      <c r="BL88" s="16">
        <v>3.2047280817775081E-2</v>
      </c>
      <c r="BM88" s="16">
        <v>2.8724143418913162E-2</v>
      </c>
      <c r="BN88" s="16">
        <v>1.3616823216991314E-2</v>
      </c>
      <c r="BO88" s="16">
        <v>2.4210072435787211E-2</v>
      </c>
      <c r="BP88" s="16">
        <v>5.9737223891096591E-2</v>
      </c>
      <c r="BQ88" s="16">
        <v>2.3445732629290617E-2</v>
      </c>
      <c r="BR88" s="16">
        <v>1.3115860583548078E-2</v>
      </c>
      <c r="BS88" s="16">
        <v>2.1324340316053236E-2</v>
      </c>
      <c r="BT88" s="16">
        <v>3.6747709426547037E-2</v>
      </c>
      <c r="BU88" s="16">
        <v>2.7426271719399598E-3</v>
      </c>
      <c r="BV88" s="16">
        <v>7.0086465750795912E-2</v>
      </c>
      <c r="BW88" s="16">
        <v>2.1338998399641151E-2</v>
      </c>
      <c r="BX88" s="16">
        <v>3.5255023998333357E-2</v>
      </c>
      <c r="BY88" s="16">
        <v>4.3709649387655758E-2</v>
      </c>
      <c r="BZ88" s="16">
        <v>1.2902865383906836E-2</v>
      </c>
      <c r="CA88" s="16">
        <v>6.9139307417365181E-4</v>
      </c>
      <c r="CB88" s="16">
        <v>6.397812316357232E-2</v>
      </c>
      <c r="CC88" s="16">
        <v>2.2424339028516704E-2</v>
      </c>
      <c r="CD88" s="16">
        <v>3.5843123184554626E-2</v>
      </c>
      <c r="CE88" s="16">
        <v>2.6246383119599925E-2</v>
      </c>
      <c r="CF88" s="16">
        <v>1.8826272981993797E-2</v>
      </c>
      <c r="CG88" s="16">
        <v>2.0008621324227316E-2</v>
      </c>
      <c r="CH88" s="16">
        <v>4.2831141107538828E-3</v>
      </c>
      <c r="CI88" s="16">
        <v>9.2661005842827882E-3</v>
      </c>
      <c r="CJ88" s="16">
        <v>4.1407137981995912E-2</v>
      </c>
      <c r="CK88" s="16">
        <v>7.2037534302413775E-3</v>
      </c>
      <c r="CL88" s="16">
        <v>1.5073299622316072E-2</v>
      </c>
      <c r="CM88" s="16">
        <v>6.9991595034614162E-3</v>
      </c>
      <c r="CN88" s="16">
        <v>2.9398106650685873E-2</v>
      </c>
      <c r="CO88" s="16">
        <v>4.0385782434427253E-2</v>
      </c>
      <c r="CP88" s="16">
        <v>7.7828959264868436E-3</v>
      </c>
      <c r="CQ88" s="16">
        <v>1.9383657767188534E-2</v>
      </c>
      <c r="CR88" s="16">
        <v>1.4291325802131882E-2</v>
      </c>
      <c r="CS88" s="16">
        <v>3.9083623227790243E-3</v>
      </c>
      <c r="CT88" s="16">
        <v>2.6546388967140677E-2</v>
      </c>
      <c r="CU88" s="16">
        <v>3.1345589783118299E-3</v>
      </c>
      <c r="CV88" s="16">
        <v>2.8933869619065855E-2</v>
      </c>
      <c r="CW88" s="16">
        <v>3.2490962514926336E-2</v>
      </c>
      <c r="CX88" s="16">
        <v>9.4740606503522784E-3</v>
      </c>
      <c r="CY88" s="16">
        <v>4.9134088834249079E-2</v>
      </c>
      <c r="CZ88" s="16">
        <v>4.3291797037759983E-3</v>
      </c>
      <c r="DA88" s="16">
        <v>2.5180050891160932E-2</v>
      </c>
      <c r="DB88" s="16">
        <v>3.0837534312846637E-2</v>
      </c>
      <c r="DC88" s="16">
        <v>1.3066791734354877E-2</v>
      </c>
      <c r="DD88" s="16">
        <v>1.7248068847488307E-2</v>
      </c>
      <c r="DE88" s="16">
        <v>2.2970050187902546E-2</v>
      </c>
      <c r="DF88" s="16">
        <v>1.6094702050705845E-2</v>
      </c>
      <c r="DG88" s="16">
        <v>3.8503884113333386E-2</v>
      </c>
      <c r="DH88" s="16">
        <v>3.6972576999166673E-2</v>
      </c>
      <c r="DI88" s="16">
        <v>1.4902914904575626E-2</v>
      </c>
      <c r="DJ88" s="16">
        <v>1.0494840010511597E-2</v>
      </c>
      <c r="DK88" s="16">
        <v>1.3858056450632095E-2</v>
      </c>
      <c r="DL88" s="16">
        <v>7.8813315794981076E-3</v>
      </c>
      <c r="DM88" s="16">
        <v>9.2346308368417285E-3</v>
      </c>
      <c r="DN88" s="16">
        <v>3.5107076384782721E-3</v>
      </c>
    </row>
    <row r="89" spans="4:118" x14ac:dyDescent="0.2">
      <c r="D89" s="13">
        <v>81</v>
      </c>
      <c r="E89" s="14">
        <f>1-IFERROR(_xlfn.LOGNORM.DIST(D89,Parameter!$G$6,Parameter!$G$7,TRUE),0)</f>
        <v>2.0787623507961595E-2</v>
      </c>
      <c r="F89" s="15">
        <f t="shared" si="2"/>
        <v>5.4843775355075994E-2</v>
      </c>
      <c r="G89" s="15">
        <f t="shared" si="3"/>
        <v>3.1863355461322048E-3</v>
      </c>
      <c r="R89" s="14">
        <f ca="1">1-IFERROR(_xlfn.LOGNORM.DIST($D89,Parameter!$E$6,Parameter!$E$7,TRUE),0)</f>
        <v>1.9426714146834834E-2</v>
      </c>
      <c r="S89" s="16">
        <v>7.3155266666857788E-3</v>
      </c>
      <c r="T89" s="16">
        <v>7.0351994804429552E-3</v>
      </c>
      <c r="U89" s="16">
        <v>2.393388794895368E-2</v>
      </c>
      <c r="V89" s="16">
        <v>4.821618221429802E-2</v>
      </c>
      <c r="W89" s="16">
        <v>1.3992643684763606E-2</v>
      </c>
      <c r="X89" s="16">
        <v>1.0146554278999798E-2</v>
      </c>
      <c r="Y89" s="16">
        <v>5.3211904843635249E-3</v>
      </c>
      <c r="Z89" s="16">
        <v>1.8148961861546131E-2</v>
      </c>
      <c r="AA89" s="16">
        <v>3.563080239580052E-2</v>
      </c>
      <c r="AB89" s="16">
        <v>2.875660086030507E-2</v>
      </c>
      <c r="AC89" s="16">
        <v>1.7397741192970773E-2</v>
      </c>
      <c r="AD89" s="16">
        <v>1.7590962259024567E-2</v>
      </c>
      <c r="AE89" s="16">
        <v>1.9671930928756853E-2</v>
      </c>
      <c r="AF89" s="16">
        <v>2.7309201727312105E-2</v>
      </c>
      <c r="AG89" s="16">
        <v>1.5144933264121252E-2</v>
      </c>
      <c r="AH89" s="16">
        <v>2.8640663649068587E-2</v>
      </c>
      <c r="AI89" s="16">
        <v>7.2395397534409378E-3</v>
      </c>
      <c r="AJ89" s="16">
        <v>6.7025178058367496E-3</v>
      </c>
      <c r="AK89" s="16">
        <v>3.451512828251635E-2</v>
      </c>
      <c r="AL89" s="16">
        <v>1.7072773092516091E-2</v>
      </c>
      <c r="AM89" s="16">
        <v>3.3010158128775613E-3</v>
      </c>
      <c r="AN89" s="16">
        <v>4.986699992125565E-2</v>
      </c>
      <c r="AO89" s="16">
        <v>1.0444636216167091E-2</v>
      </c>
      <c r="AP89" s="16">
        <v>2.6446476991550116E-2</v>
      </c>
      <c r="AQ89" s="16">
        <v>2.1145232089869848E-2</v>
      </c>
      <c r="AR89" s="16">
        <v>1.3777349116758764E-2</v>
      </c>
      <c r="AS89" s="16">
        <v>2.0049078409019927E-2</v>
      </c>
      <c r="AT89" s="16">
        <v>3.3955804775536391E-2</v>
      </c>
      <c r="AU89" s="16">
        <v>4.862419627751402E-2</v>
      </c>
      <c r="AV89" s="16">
        <v>2.2206675109074259E-2</v>
      </c>
      <c r="AW89" s="16">
        <v>2.9527827568048171E-2</v>
      </c>
      <c r="AX89" s="16">
        <v>6.2553592521246149E-3</v>
      </c>
      <c r="AY89" s="16">
        <v>1.639221032505167E-2</v>
      </c>
      <c r="AZ89" s="16">
        <v>1.8067503442281807E-2</v>
      </c>
      <c r="BA89" s="16">
        <v>2.7677062083163229E-2</v>
      </c>
      <c r="BB89" s="16">
        <v>1.2722493656007638E-2</v>
      </c>
      <c r="BC89" s="16">
        <v>2.7658058503010285E-2</v>
      </c>
      <c r="BD89" s="16">
        <v>1.5336752556027511E-2</v>
      </c>
      <c r="BE89" s="16">
        <v>2.7824678462720964E-2</v>
      </c>
      <c r="BF89" s="16">
        <v>4.457797059999935E-3</v>
      </c>
      <c r="BG89" s="16">
        <v>2.8128661993161774E-2</v>
      </c>
      <c r="BH89" s="16">
        <v>2.7599079960400341E-2</v>
      </c>
      <c r="BI89" s="16">
        <v>2.3635518050429183E-2</v>
      </c>
      <c r="BJ89" s="16">
        <v>2.8887675316229489E-2</v>
      </c>
      <c r="BK89" s="16">
        <v>2.1102817454290324E-2</v>
      </c>
      <c r="BL89" s="16">
        <v>3.1730732061770239E-2</v>
      </c>
      <c r="BM89" s="16">
        <v>2.845962147212866E-2</v>
      </c>
      <c r="BN89" s="16">
        <v>1.3449196368080285E-2</v>
      </c>
      <c r="BO89" s="16">
        <v>2.3981174513395098E-2</v>
      </c>
      <c r="BP89" s="16">
        <v>5.9346572176151691E-2</v>
      </c>
      <c r="BQ89" s="16">
        <v>2.3234050710474019E-2</v>
      </c>
      <c r="BR89" s="16">
        <v>1.2957372081834784E-2</v>
      </c>
      <c r="BS89" s="16">
        <v>2.1130236479131703E-2</v>
      </c>
      <c r="BT89" s="16">
        <v>3.6395384632102235E-2</v>
      </c>
      <c r="BU89" s="16">
        <v>2.6948059211292508E-3</v>
      </c>
      <c r="BV89" s="16">
        <v>6.9639209620630194E-2</v>
      </c>
      <c r="BW89" s="16">
        <v>2.1118982473103398E-2</v>
      </c>
      <c r="BX89" s="16">
        <v>3.4915809920131768E-2</v>
      </c>
      <c r="BY89" s="16">
        <v>4.3378193148679967E-2</v>
      </c>
      <c r="BZ89" s="16">
        <v>1.2735822447019873E-2</v>
      </c>
      <c r="CA89" s="16">
        <v>6.7600506183029818E-4</v>
      </c>
      <c r="CB89" s="16">
        <v>6.3495902919936675E-2</v>
      </c>
      <c r="CC89" s="16">
        <v>2.2179765622815317E-2</v>
      </c>
      <c r="CD89" s="16">
        <v>3.55377297701438E-2</v>
      </c>
      <c r="CE89" s="16">
        <v>2.6006478887750539E-2</v>
      </c>
      <c r="CF89" s="16">
        <v>1.8632874861606141E-2</v>
      </c>
      <c r="CG89" s="16">
        <v>1.9792359782598634E-2</v>
      </c>
      <c r="CH89" s="16">
        <v>4.2171589291677414E-3</v>
      </c>
      <c r="CI89" s="16">
        <v>9.1643163193231292E-3</v>
      </c>
      <c r="CJ89" s="16">
        <v>4.1072072781961344E-2</v>
      </c>
      <c r="CK89" s="16">
        <v>7.1035789644070535E-3</v>
      </c>
      <c r="CL89" s="16">
        <v>1.4894978824185778E-2</v>
      </c>
      <c r="CM89" s="16">
        <v>6.9082655498119427E-3</v>
      </c>
      <c r="CN89" s="16">
        <v>2.9143571881483088E-2</v>
      </c>
      <c r="CO89" s="16">
        <v>4.004740562080944E-2</v>
      </c>
      <c r="CP89" s="16">
        <v>7.6755845171982973E-3</v>
      </c>
      <c r="CQ89" s="16">
        <v>1.9182797723842682E-2</v>
      </c>
      <c r="CR89" s="16">
        <v>1.4132183676411336E-2</v>
      </c>
      <c r="CS89" s="16">
        <v>3.848961218291147E-3</v>
      </c>
      <c r="CT89" s="16">
        <v>2.6236592489501609E-2</v>
      </c>
      <c r="CU89" s="16">
        <v>3.0825772095530724E-3</v>
      </c>
      <c r="CV89" s="16">
        <v>2.8679478382736767E-2</v>
      </c>
      <c r="CW89" s="16">
        <v>3.220632317256189E-2</v>
      </c>
      <c r="CX89" s="16">
        <v>9.3665421675114269E-3</v>
      </c>
      <c r="CY89" s="16">
        <v>4.8742000488864456E-2</v>
      </c>
      <c r="CZ89" s="16">
        <v>4.2576489272136975E-3</v>
      </c>
      <c r="DA89" s="16">
        <v>2.496604755185261E-2</v>
      </c>
      <c r="DB89" s="16">
        <v>3.0502621195312885E-2</v>
      </c>
      <c r="DC89" s="16">
        <v>1.2895588060061303E-2</v>
      </c>
      <c r="DD89" s="16">
        <v>1.7029041033878589E-2</v>
      </c>
      <c r="DE89" s="16">
        <v>2.2736616864910242E-2</v>
      </c>
      <c r="DF89" s="16">
        <v>1.5929296894396927E-2</v>
      </c>
      <c r="DG89" s="16">
        <v>3.8200981865402994E-2</v>
      </c>
      <c r="DH89" s="16">
        <v>3.6655129276121912E-2</v>
      </c>
      <c r="DI89" s="16">
        <v>1.4735223142046006E-2</v>
      </c>
      <c r="DJ89" s="16">
        <v>1.0360169798968921E-2</v>
      </c>
      <c r="DK89" s="16">
        <v>1.3708614571753985E-2</v>
      </c>
      <c r="DL89" s="16">
        <v>7.7858464927165194E-3</v>
      </c>
      <c r="DM89" s="16">
        <v>9.1160989584233576E-3</v>
      </c>
      <c r="DN89" s="16">
        <v>3.4538813453187656E-3</v>
      </c>
    </row>
    <row r="90" spans="4:118" x14ac:dyDescent="0.2">
      <c r="D90" s="13">
        <v>82</v>
      </c>
      <c r="E90" s="14">
        <f>1-IFERROR(_xlfn.LOGNORM.DIST(D90,Parameter!$G$6,Parameter!$G$7,TRUE),0)</f>
        <v>2.0577618616335447E-2</v>
      </c>
      <c r="F90" s="15">
        <f t="shared" si="2"/>
        <v>5.4462460936202453E-2</v>
      </c>
      <c r="G90" s="15">
        <f t="shared" si="3"/>
        <v>3.1332140001719714E-3</v>
      </c>
      <c r="R90" s="14">
        <f ca="1">1-IFERROR(_xlfn.LOGNORM.DIST($D90,Parameter!$E$6,Parameter!$E$7,TRUE),0)</f>
        <v>1.9217211404696122E-2</v>
      </c>
      <c r="S90" s="16">
        <v>7.2269526549276764E-3</v>
      </c>
      <c r="T90" s="16">
        <v>6.9425121847109805E-3</v>
      </c>
      <c r="U90" s="16">
        <v>2.3675912867139881E-2</v>
      </c>
      <c r="V90" s="16">
        <v>4.7841761271755212E-2</v>
      </c>
      <c r="W90" s="16">
        <v>1.3845211303558203E-2</v>
      </c>
      <c r="X90" s="16">
        <v>1.0012262146666506E-2</v>
      </c>
      <c r="Y90" s="16">
        <v>5.2463963442366257E-3</v>
      </c>
      <c r="Z90" s="16">
        <v>1.7977374812907732E-2</v>
      </c>
      <c r="AA90" s="16">
        <v>3.5333298229307197E-2</v>
      </c>
      <c r="AB90" s="16">
        <v>2.8461263430605066E-2</v>
      </c>
      <c r="AC90" s="16">
        <v>1.721199365475401E-2</v>
      </c>
      <c r="AD90" s="16">
        <v>1.7405327945971716E-2</v>
      </c>
      <c r="AE90" s="16">
        <v>1.9471349047789355E-2</v>
      </c>
      <c r="AF90" s="16">
        <v>2.7050086022728626E-2</v>
      </c>
      <c r="AG90" s="16">
        <v>1.493960725127319E-2</v>
      </c>
      <c r="AH90" s="16">
        <v>2.8398552337427718E-2</v>
      </c>
      <c r="AI90" s="16">
        <v>7.1472873370255208E-3</v>
      </c>
      <c r="AJ90" s="16">
        <v>6.6097720731264076E-3</v>
      </c>
      <c r="AK90" s="16">
        <v>3.4249736771627126E-2</v>
      </c>
      <c r="AL90" s="16">
        <v>1.6899560949670711E-2</v>
      </c>
      <c r="AM90" s="16">
        <v>3.2450858633059632E-3</v>
      </c>
      <c r="AN90" s="16">
        <v>4.9488531429606741E-2</v>
      </c>
      <c r="AO90" s="16">
        <v>1.0319884818185021E-2</v>
      </c>
      <c r="AP90" s="16">
        <v>2.6223732911074715E-2</v>
      </c>
      <c r="AQ90" s="16">
        <v>2.0955998378556773E-2</v>
      </c>
      <c r="AR90" s="16">
        <v>1.3607229811825161E-2</v>
      </c>
      <c r="AS90" s="16">
        <v>1.9845139962735292E-2</v>
      </c>
      <c r="AT90" s="16">
        <v>3.3668303690158274E-2</v>
      </c>
      <c r="AU90" s="16">
        <v>4.8251128656204401E-2</v>
      </c>
      <c r="AV90" s="16">
        <v>2.1969246668837594E-2</v>
      </c>
      <c r="AW90" s="16">
        <v>2.9290397017082359E-2</v>
      </c>
      <c r="AX90" s="16">
        <v>6.1680640198319425E-3</v>
      </c>
      <c r="AY90" s="16">
        <v>1.6193209617844984E-2</v>
      </c>
      <c r="AZ90" s="16">
        <v>1.7884194049813673E-2</v>
      </c>
      <c r="BA90" s="16">
        <v>2.7379627894882907E-2</v>
      </c>
      <c r="BB90" s="16">
        <v>1.2570525384909992E-2</v>
      </c>
      <c r="BC90" s="16">
        <v>2.7371093916845779E-2</v>
      </c>
      <c r="BD90" s="16">
        <v>1.5189413188054668E-2</v>
      </c>
      <c r="BE90" s="16">
        <v>2.7566110381814335E-2</v>
      </c>
      <c r="BF90" s="16">
        <v>4.3880321095748354E-3</v>
      </c>
      <c r="BG90" s="16">
        <v>2.7836684899618103E-2</v>
      </c>
      <c r="BH90" s="16">
        <v>2.7355144304380463E-2</v>
      </c>
      <c r="BI90" s="16">
        <v>2.3421764544016566E-2</v>
      </c>
      <c r="BJ90" s="16">
        <v>2.8625087434572594E-2</v>
      </c>
      <c r="BK90" s="16">
        <v>2.0906522923261006E-2</v>
      </c>
      <c r="BL90" s="16">
        <v>3.1420607929640076E-2</v>
      </c>
      <c r="BM90" s="16">
        <v>2.8200337980500367E-2</v>
      </c>
      <c r="BN90" s="16">
        <v>1.3285378322017816E-2</v>
      </c>
      <c r="BO90" s="16">
        <v>2.3756873237989806E-2</v>
      </c>
      <c r="BP90" s="16">
        <v>5.8962682870741578E-2</v>
      </c>
      <c r="BQ90" s="16">
        <v>2.3026547800881758E-2</v>
      </c>
      <c r="BR90" s="16">
        <v>1.2802456564030895E-2</v>
      </c>
      <c r="BS90" s="16">
        <v>2.0939983768766823E-2</v>
      </c>
      <c r="BT90" s="16">
        <v>3.6050101675071278E-2</v>
      </c>
      <c r="BU90" s="16">
        <v>2.6483118222045965E-3</v>
      </c>
      <c r="BV90" s="16">
        <v>6.9199601726997018E-2</v>
      </c>
      <c r="BW90" s="16">
        <v>2.0903553244661532E-2</v>
      </c>
      <c r="BX90" s="16">
        <v>3.4583392711396987E-2</v>
      </c>
      <c r="BY90" s="16">
        <v>4.3052799012432863E-2</v>
      </c>
      <c r="BZ90" s="16">
        <v>1.2572669271688097E-2</v>
      </c>
      <c r="CA90" s="16">
        <v>6.6111656989675804E-4</v>
      </c>
      <c r="CB90" s="16">
        <v>6.3022381158968854E-2</v>
      </c>
      <c r="CC90" s="16">
        <v>2.1940406772266607E-2</v>
      </c>
      <c r="CD90" s="16">
        <v>3.5238180994137225E-2</v>
      </c>
      <c r="CE90" s="16">
        <v>2.5771321729707641E-2</v>
      </c>
      <c r="CF90" s="16">
        <v>1.8443512591368227E-2</v>
      </c>
      <c r="CG90" s="16">
        <v>1.958070267155354E-2</v>
      </c>
      <c r="CH90" s="16">
        <v>4.1529062149191498E-3</v>
      </c>
      <c r="CI90" s="16">
        <v>9.0647431354993202E-3</v>
      </c>
      <c r="CJ90" s="16">
        <v>4.0743280704101492E-2</v>
      </c>
      <c r="CK90" s="16">
        <v>7.0058422355642191E-3</v>
      </c>
      <c r="CL90" s="16">
        <v>1.4720629652879236E-2</v>
      </c>
      <c r="CM90" s="16">
        <v>6.8195116860735316E-3</v>
      </c>
      <c r="CN90" s="16">
        <v>2.8893960289780973E-2</v>
      </c>
      <c r="CO90" s="16">
        <v>3.971544585005049E-2</v>
      </c>
      <c r="CP90" s="16">
        <v>7.570870637290561E-3</v>
      </c>
      <c r="CQ90" s="16">
        <v>1.8986141923711064E-2</v>
      </c>
      <c r="CR90" s="16">
        <v>1.3976495632733843E-2</v>
      </c>
      <c r="CS90" s="16">
        <v>3.7910845509966373E-3</v>
      </c>
      <c r="CT90" s="16">
        <v>2.5933570279666252E-2</v>
      </c>
      <c r="CU90" s="16">
        <v>3.0319966001935983E-3</v>
      </c>
      <c r="CV90" s="16">
        <v>2.8430037233061367E-2</v>
      </c>
      <c r="CW90" s="16">
        <v>3.1927200111590448E-2</v>
      </c>
      <c r="CX90" s="16">
        <v>9.2613923265095766E-3</v>
      </c>
      <c r="CY90" s="16">
        <v>4.8357182131243626E-2</v>
      </c>
      <c r="CZ90" s="16">
        <v>4.1880351479780531E-3</v>
      </c>
      <c r="DA90" s="16">
        <v>2.4756169185311538E-2</v>
      </c>
      <c r="DB90" s="16">
        <v>3.0174780986633287E-2</v>
      </c>
      <c r="DC90" s="16">
        <v>1.2728392891627194E-2</v>
      </c>
      <c r="DD90" s="16">
        <v>1.6815039096320539E-2</v>
      </c>
      <c r="DE90" s="16">
        <v>2.2508013641072799E-2</v>
      </c>
      <c r="DF90" s="16">
        <v>1.5767354092764863E-2</v>
      </c>
      <c r="DG90" s="16">
        <v>3.7903706714236929E-2</v>
      </c>
      <c r="DH90" s="16">
        <v>3.6343768864569248E-2</v>
      </c>
      <c r="DI90" s="16">
        <v>1.4571184909433987E-2</v>
      </c>
      <c r="DJ90" s="16">
        <v>1.0228633444468005E-2</v>
      </c>
      <c r="DK90" s="16">
        <v>1.3562373290107677E-2</v>
      </c>
      <c r="DL90" s="16">
        <v>7.6925337798062765E-3</v>
      </c>
      <c r="DM90" s="16">
        <v>9.0003313170343713E-3</v>
      </c>
      <c r="DN90" s="16">
        <v>3.3985648767508314E-3</v>
      </c>
    </row>
    <row r="91" spans="4:118" x14ac:dyDescent="0.2">
      <c r="D91" s="13">
        <v>83</v>
      </c>
      <c r="E91" s="14">
        <f>1-IFERROR(_xlfn.LOGNORM.DIST(D91,Parameter!$G$6,Parameter!$G$7,TRUE),0)</f>
        <v>2.0371926775606508E-2</v>
      </c>
      <c r="F91" s="15">
        <f t="shared" si="2"/>
        <v>5.4087845309979232E-2</v>
      </c>
      <c r="G91" s="15">
        <f t="shared" si="3"/>
        <v>3.0815206818063821E-3</v>
      </c>
      <c r="R91" s="14">
        <f ca="1">1-IFERROR(_xlfn.LOGNORM.DIST($D91,Parameter!$E$6,Parameter!$E$7,TRUE),0)</f>
        <v>1.9012136912294642E-2</v>
      </c>
      <c r="S91" s="16">
        <v>7.1403822690625507E-3</v>
      </c>
      <c r="T91" s="16">
        <v>6.8520086897092547E-3</v>
      </c>
      <c r="U91" s="16">
        <v>2.3423364789582402E-2</v>
      </c>
      <c r="V91" s="16">
        <v>4.7474168138304296E-2</v>
      </c>
      <c r="W91" s="16">
        <v>1.3700883354274773E-2</v>
      </c>
      <c r="X91" s="16">
        <v>9.8811237145985942E-3</v>
      </c>
      <c r="Y91" s="16">
        <v>5.1734286020871378E-3</v>
      </c>
      <c r="Z91" s="16">
        <v>1.7809227811588335E-2</v>
      </c>
      <c r="AA91" s="16">
        <v>3.5041403751644662E-2</v>
      </c>
      <c r="AB91" s="16">
        <v>2.8171988162155825E-2</v>
      </c>
      <c r="AC91" s="16">
        <v>1.7030163998830061E-2</v>
      </c>
      <c r="AD91" s="16">
        <v>1.7223588971256976E-2</v>
      </c>
      <c r="AE91" s="16">
        <v>1.9274907040274791E-2</v>
      </c>
      <c r="AF91" s="16">
        <v>2.6796129037989225E-2</v>
      </c>
      <c r="AG91" s="16">
        <v>1.4739124447511243E-2</v>
      </c>
      <c r="AH91" s="16">
        <v>2.8161050385675068E-2</v>
      </c>
      <c r="AI91" s="16">
        <v>7.0571729743464928E-3</v>
      </c>
      <c r="AJ91" s="16">
        <v>6.5192665094210289E-3</v>
      </c>
      <c r="AK91" s="16">
        <v>3.398921145128464E-2</v>
      </c>
      <c r="AL91" s="16">
        <v>1.6729926095862657E-2</v>
      </c>
      <c r="AM91" s="16">
        <v>3.1906723363223088E-3</v>
      </c>
      <c r="AN91" s="16">
        <v>4.9116905207165162E-2</v>
      </c>
      <c r="AO91" s="16">
        <v>1.0197923250471086E-2</v>
      </c>
      <c r="AP91" s="16">
        <v>2.6005231110502125E-2</v>
      </c>
      <c r="AQ91" s="16">
        <v>2.0770467781654589E-2</v>
      </c>
      <c r="AR91" s="16">
        <v>1.344095564305503E-2</v>
      </c>
      <c r="AS91" s="16">
        <v>1.9645404906578068E-2</v>
      </c>
      <c r="AT91" s="16">
        <v>3.3386257514284035E-2</v>
      </c>
      <c r="AU91" s="16">
        <v>4.7884835103603196E-2</v>
      </c>
      <c r="AV91" s="16">
        <v>2.1736804247580399E-2</v>
      </c>
      <c r="AW91" s="16">
        <v>2.9057403492358858E-2</v>
      </c>
      <c r="AX91" s="16">
        <v>6.0828882716562616E-3</v>
      </c>
      <c r="AY91" s="16">
        <v>1.5998656956601298E-2</v>
      </c>
      <c r="AZ91" s="16">
        <v>1.7704666523311485E-2</v>
      </c>
      <c r="BA91" s="16">
        <v>2.7088421174960908E-2</v>
      </c>
      <c r="BB91" s="16">
        <v>1.2421944663898454E-2</v>
      </c>
      <c r="BC91" s="16">
        <v>2.7090050113884212E-2</v>
      </c>
      <c r="BD91" s="16">
        <v>1.5045055452901246E-2</v>
      </c>
      <c r="BE91" s="16">
        <v>2.7312646359858528E-2</v>
      </c>
      <c r="BF91" s="16">
        <v>4.3200723634343463E-3</v>
      </c>
      <c r="BG91" s="16">
        <v>2.755073061092661E-2</v>
      </c>
      <c r="BH91" s="16">
        <v>2.7115933708062201E-2</v>
      </c>
      <c r="BI91" s="16">
        <v>2.3212201501823126E-2</v>
      </c>
      <c r="BJ91" s="16">
        <v>2.8367634778140083E-2</v>
      </c>
      <c r="BK91" s="16">
        <v>2.0714127540291671E-2</v>
      </c>
      <c r="BL91" s="16">
        <v>3.1116707803018673E-2</v>
      </c>
      <c r="BM91" s="16">
        <v>2.7946131232779781E-2</v>
      </c>
      <c r="BN91" s="16">
        <v>1.3125241284373312E-2</v>
      </c>
      <c r="BO91" s="16">
        <v>2.3537025393119082E-2</v>
      </c>
      <c r="BP91" s="16">
        <v>5.8585362545858777E-2</v>
      </c>
      <c r="BQ91" s="16">
        <v>2.2823094832486346E-2</v>
      </c>
      <c r="BR91" s="16">
        <v>1.2650994640327928E-2</v>
      </c>
      <c r="BS91" s="16">
        <v>2.0753462821592961E-2</v>
      </c>
      <c r="BT91" s="16">
        <v>3.5711642831551926E-2</v>
      </c>
      <c r="BU91" s="16">
        <v>2.6030939550653054E-3</v>
      </c>
      <c r="BV91" s="16">
        <v>6.8767425042053909E-2</v>
      </c>
      <c r="BW91" s="16">
        <v>2.069256470780112E-2</v>
      </c>
      <c r="BX91" s="16">
        <v>3.4257561822478522E-2</v>
      </c>
      <c r="BY91" s="16">
        <v>4.2733288180159534E-2</v>
      </c>
      <c r="BZ91" s="16">
        <v>1.241327342579901E-2</v>
      </c>
      <c r="CA91" s="16">
        <v>6.4670617174211742E-4</v>
      </c>
      <c r="CB91" s="16">
        <v>6.2557304459164298E-2</v>
      </c>
      <c r="CC91" s="16">
        <v>2.1706094537540466E-2</v>
      </c>
      <c r="CD91" s="16">
        <v>3.4944300060192557E-2</v>
      </c>
      <c r="CE91" s="16">
        <v>2.5540765020476086E-2</v>
      </c>
      <c r="CF91" s="16">
        <v>1.8258057464237476E-2</v>
      </c>
      <c r="CG91" s="16">
        <v>1.937350162210183E-2</v>
      </c>
      <c r="CH91" s="16">
        <v>4.0902937438518361E-3</v>
      </c>
      <c r="CI91" s="16">
        <v>8.9673084949229986E-3</v>
      </c>
      <c r="CJ91" s="16">
        <v>4.0420574428192135E-2</v>
      </c>
      <c r="CK91" s="16">
        <v>6.9104576179571664E-3</v>
      </c>
      <c r="CL91" s="16">
        <v>1.4550120488806662E-2</v>
      </c>
      <c r="CM91" s="16">
        <v>6.7328241868382932E-3</v>
      </c>
      <c r="CN91" s="16">
        <v>2.8649121797037824E-2</v>
      </c>
      <c r="CO91" s="16">
        <v>3.9389710200971373E-2</v>
      </c>
      <c r="CP91" s="16">
        <v>7.4686633955848292E-3</v>
      </c>
      <c r="CQ91" s="16">
        <v>1.8793556106794229E-2</v>
      </c>
      <c r="CR91" s="16">
        <v>1.3824148798091906E-2</v>
      </c>
      <c r="CS91" s="16">
        <v>3.7346767681991633E-3</v>
      </c>
      <c r="CT91" s="16">
        <v>2.5637101649388816E-2</v>
      </c>
      <c r="CU91" s="16">
        <v>2.9827644229586392E-3</v>
      </c>
      <c r="CV91" s="16">
        <v>2.8185394771402139E-2</v>
      </c>
      <c r="CW91" s="16">
        <v>3.1653425190561912E-2</v>
      </c>
      <c r="CX91" s="16">
        <v>9.1585328055574511E-3</v>
      </c>
      <c r="CY91" s="16">
        <v>4.797941822285301E-2</v>
      </c>
      <c r="CZ91" s="16">
        <v>4.1202666524426945E-3</v>
      </c>
      <c r="DA91" s="16">
        <v>2.4550290079033643E-2</v>
      </c>
      <c r="DB91" s="16">
        <v>2.9853788033780138E-2</v>
      </c>
      <c r="DC91" s="16">
        <v>1.2565069341072044E-2</v>
      </c>
      <c r="DD91" s="16">
        <v>1.660589390241396E-2</v>
      </c>
      <c r="DE91" s="16">
        <v>2.2284087506525219E-2</v>
      </c>
      <c r="DF91" s="16">
        <v>1.560876287955304E-2</v>
      </c>
      <c r="DG91" s="16">
        <v>3.7611891135963749E-2</v>
      </c>
      <c r="DH91" s="16">
        <v>3.6038311513951204E-2</v>
      </c>
      <c r="DI91" s="16">
        <v>1.4410680607140236E-2</v>
      </c>
      <c r="DJ91" s="16">
        <v>1.0100124078786132E-2</v>
      </c>
      <c r="DK91" s="16">
        <v>1.3419228767066582E-2</v>
      </c>
      <c r="DL91" s="16">
        <v>7.6013201602738167E-3</v>
      </c>
      <c r="DM91" s="16">
        <v>8.8872334257936725E-3</v>
      </c>
      <c r="DN91" s="16">
        <v>3.3447019714754056E-3</v>
      </c>
    </row>
    <row r="92" spans="4:118" x14ac:dyDescent="0.2">
      <c r="D92" s="13">
        <v>84</v>
      </c>
      <c r="E92" s="14">
        <f>1-IFERROR(_xlfn.LOGNORM.DIST(D92,Parameter!$G$6,Parameter!$G$7,TRUE),0)</f>
        <v>2.0170412497746204E-2</v>
      </c>
      <c r="F92" s="15">
        <f t="shared" si="2"/>
        <v>5.3719736397013038E-2</v>
      </c>
      <c r="G92" s="15">
        <f t="shared" si="3"/>
        <v>3.0312021676984326E-3</v>
      </c>
      <c r="R92" s="14">
        <f ca="1">1-IFERROR(_xlfn.LOGNORM.DIST($D92,Parameter!$E$6,Parameter!$E$7,TRUE),0)</f>
        <v>1.8811349256977805E-2</v>
      </c>
      <c r="S92" s="16">
        <v>7.0557484410906923E-3</v>
      </c>
      <c r="T92" s="16">
        <v>6.7636140967407554E-3</v>
      </c>
      <c r="U92" s="16">
        <v>2.3176071278130039E-2</v>
      </c>
      <c r="V92" s="16">
        <v>4.7113203188859809E-2</v>
      </c>
      <c r="W92" s="16">
        <v>1.3559560596767328E-2</v>
      </c>
      <c r="X92" s="16">
        <v>9.753031359950648E-3</v>
      </c>
      <c r="Y92" s="16">
        <v>5.1022231261064199E-3</v>
      </c>
      <c r="Z92" s="16">
        <v>1.7644414064172276E-2</v>
      </c>
      <c r="AA92" s="16">
        <v>3.4754951519537669E-2</v>
      </c>
      <c r="AB92" s="16">
        <v>2.7888585412208067E-2</v>
      </c>
      <c r="AC92" s="16">
        <v>1.6852127112827464E-2</v>
      </c>
      <c r="AD92" s="16">
        <v>1.7045621310296633E-2</v>
      </c>
      <c r="AE92" s="16">
        <v>1.9082474434756524E-2</v>
      </c>
      <c r="AF92" s="16">
        <v>2.6547171878502196E-2</v>
      </c>
      <c r="AG92" s="16">
        <v>1.4543319857583614E-2</v>
      </c>
      <c r="AH92" s="16">
        <v>2.7928019187304809E-2</v>
      </c>
      <c r="AI92" s="16">
        <v>6.9691240635441076E-3</v>
      </c>
      <c r="AJ92" s="16">
        <v>6.4309231044454851E-3</v>
      </c>
      <c r="AK92" s="16">
        <v>3.3733409075888621E-2</v>
      </c>
      <c r="AL92" s="16">
        <v>1.6563755595862095E-2</v>
      </c>
      <c r="AM92" s="16">
        <v>3.1377182223442102E-3</v>
      </c>
      <c r="AN92" s="16">
        <v>4.8751922145410242E-2</v>
      </c>
      <c r="AO92" s="16">
        <v>1.0078659000288481E-2</v>
      </c>
      <c r="AP92" s="16">
        <v>2.5790843894573645E-2</v>
      </c>
      <c r="AQ92" s="16">
        <v>2.058852698428193E-2</v>
      </c>
      <c r="AR92" s="16">
        <v>1.3278398649882561E-2</v>
      </c>
      <c r="AS92" s="16">
        <v>1.9449740891893774E-2</v>
      </c>
      <c r="AT92" s="16">
        <v>3.3109502811061176E-2</v>
      </c>
      <c r="AU92" s="16">
        <v>4.7525118004875244E-2</v>
      </c>
      <c r="AV92" s="16">
        <v>2.1509189425398811E-2</v>
      </c>
      <c r="AW92" s="16">
        <v>2.8828714892156992E-2</v>
      </c>
      <c r="AX92" s="16">
        <v>5.9997579298820547E-3</v>
      </c>
      <c r="AY92" s="16">
        <v>1.5808405526793856E-2</v>
      </c>
      <c r="AZ92" s="16">
        <v>1.7528801600703137E-2</v>
      </c>
      <c r="BA92" s="16">
        <v>2.6803244936439929E-2</v>
      </c>
      <c r="BB92" s="16">
        <v>1.2276639562852187E-2</v>
      </c>
      <c r="BC92" s="16">
        <v>2.6814741267630171E-2</v>
      </c>
      <c r="BD92" s="16">
        <v>1.4903586184024431E-2</v>
      </c>
      <c r="BE92" s="16">
        <v>2.7064129926649749E-2</v>
      </c>
      <c r="BF92" s="16">
        <v>4.2538520568516924E-3</v>
      </c>
      <c r="BG92" s="16">
        <v>2.7270610164788933E-2</v>
      </c>
      <c r="BH92" s="16">
        <v>2.6881304739639456E-2</v>
      </c>
      <c r="BI92" s="16">
        <v>2.3006700706577177E-2</v>
      </c>
      <c r="BJ92" s="16">
        <v>2.8115160759633273E-2</v>
      </c>
      <c r="BK92" s="16">
        <v>2.0525511027940313E-2</v>
      </c>
      <c r="BL92" s="16">
        <v>3.0818839529422881E-2</v>
      </c>
      <c r="BM92" s="16">
        <v>2.7696846300152678E-2</v>
      </c>
      <c r="BN92" s="16">
        <v>1.2968663137521874E-2</v>
      </c>
      <c r="BO92" s="16">
        <v>2.3321493810397498E-2</v>
      </c>
      <c r="BP92" s="16">
        <v>5.8214425481796672E-2</v>
      </c>
      <c r="BQ92" s="16">
        <v>2.2623568159152341E-2</v>
      </c>
      <c r="BR92" s="16">
        <v>1.2502872211602289E-2</v>
      </c>
      <c r="BS92" s="16">
        <v>2.0570559302247826E-2</v>
      </c>
      <c r="BT92" s="16">
        <v>3.5379799499488884E-2</v>
      </c>
      <c r="BU92" s="16">
        <v>2.5591038956270795E-3</v>
      </c>
      <c r="BV92" s="16">
        <v>6.8342471136805694E-2</v>
      </c>
      <c r="BW92" s="16">
        <v>2.0485877110205108E-2</v>
      </c>
      <c r="BX92" s="16">
        <v>3.3938115538454272E-2</v>
      </c>
      <c r="BY92" s="16">
        <v>4.2419489126263699E-2</v>
      </c>
      <c r="BZ92" s="16">
        <v>1.2257508417811036E-2</v>
      </c>
      <c r="CA92" s="16">
        <v>6.3275358395842307E-4</v>
      </c>
      <c r="CB92" s="16">
        <v>6.2100429599297957E-2</v>
      </c>
      <c r="CC92" s="16">
        <v>2.1476668222890183E-2</v>
      </c>
      <c r="CD92" s="16">
        <v>3.4655917484236132E-2</v>
      </c>
      <c r="CE92" s="16">
        <v>2.5314668290619124E-2</v>
      </c>
      <c r="CF92" s="16">
        <v>1.8076386297105174E-2</v>
      </c>
      <c r="CG92" s="16">
        <v>1.9170614672224584E-2</v>
      </c>
      <c r="CH92" s="16">
        <v>4.0292622357883667E-3</v>
      </c>
      <c r="CI92" s="16">
        <v>8.8719430415523659E-3</v>
      </c>
      <c r="CJ92" s="16">
        <v>4.0103774313218876E-2</v>
      </c>
      <c r="CK92" s="16">
        <v>6.8173434198830485E-3</v>
      </c>
      <c r="CL92" s="16">
        <v>1.4383325509071399E-2</v>
      </c>
      <c r="CM92" s="16">
        <v>6.6481326709809663E-3</v>
      </c>
      <c r="CN92" s="16">
        <v>2.8408912569803269E-2</v>
      </c>
      <c r="CO92" s="16">
        <v>3.9070013694808559E-2</v>
      </c>
      <c r="CP92" s="16">
        <v>7.368876064579144E-3</v>
      </c>
      <c r="CQ92" s="16">
        <v>1.8604911779274036E-2</v>
      </c>
      <c r="CR92" s="16">
        <v>1.3675035227650234E-2</v>
      </c>
      <c r="CS92" s="16">
        <v>3.6796849413199828E-3</v>
      </c>
      <c r="CT92" s="16">
        <v>2.5346975482123613E-2</v>
      </c>
      <c r="CU92" s="16">
        <v>2.9348304992093954E-3</v>
      </c>
      <c r="CV92" s="16">
        <v>2.7945405912624954E-2</v>
      </c>
      <c r="CW92" s="16">
        <v>3.1384837259575082E-2</v>
      </c>
      <c r="CX92" s="16">
        <v>9.0578887359231697E-3</v>
      </c>
      <c r="CY92" s="16">
        <v>4.7608502011221132E-2</v>
      </c>
      <c r="CZ92" s="16">
        <v>4.0542751739596206E-3</v>
      </c>
      <c r="DA92" s="16">
        <v>2.4348289755575458E-2</v>
      </c>
      <c r="DB92" s="16">
        <v>2.9539426333272223E-2</v>
      </c>
      <c r="DC92" s="16">
        <v>1.2405486672293686E-2</v>
      </c>
      <c r="DD92" s="16">
        <v>1.6401443834059282E-2</v>
      </c>
      <c r="DE92" s="16">
        <v>2.2064691982463303E-2</v>
      </c>
      <c r="DF92" s="16">
        <v>1.5453417256226842E-2</v>
      </c>
      <c r="DG92" s="16">
        <v>3.7325374465626115E-2</v>
      </c>
      <c r="DH92" s="16">
        <v>3.5738580595302771E-2</v>
      </c>
      <c r="DI92" s="16">
        <v>1.4253595862017021E-2</v>
      </c>
      <c r="DJ92" s="16">
        <v>9.974539638837987E-3</v>
      </c>
      <c r="DK92" s="16">
        <v>1.3279081677518012E-2</v>
      </c>
      <c r="DL92" s="16">
        <v>7.5121356298937236E-3</v>
      </c>
      <c r="DM92" s="16">
        <v>8.7767150558982765E-3</v>
      </c>
      <c r="DN92" s="16">
        <v>3.2922390679639424E-3</v>
      </c>
    </row>
    <row r="93" spans="4:118" x14ac:dyDescent="0.2">
      <c r="D93" s="13">
        <v>85</v>
      </c>
      <c r="E93" s="14">
        <f>1-IFERROR(_xlfn.LOGNORM.DIST(D93,Parameter!$G$6,Parameter!$G$7,TRUE),0)</f>
        <v>1.9972946026393323E-2</v>
      </c>
      <c r="F93" s="15">
        <f t="shared" si="2"/>
        <v>5.3357949753591663E-2</v>
      </c>
      <c r="G93" s="15">
        <f t="shared" si="3"/>
        <v>2.9822075967231021E-3</v>
      </c>
      <c r="R93" s="14">
        <f ca="1">1-IFERROR(_xlfn.LOGNORM.DIST($D93,Parameter!$E$6,Parameter!$E$7,TRUE),0)</f>
        <v>1.8614713073244693E-2</v>
      </c>
      <c r="S93" s="16">
        <v>6.9729870755502743E-3</v>
      </c>
      <c r="T93" s="16">
        <v>6.6772568814321698E-3</v>
      </c>
      <c r="U93" s="16">
        <v>2.2933867233887684E-2</v>
      </c>
      <c r="V93" s="16">
        <v>4.67586748319051E-2</v>
      </c>
      <c r="W93" s="16">
        <v>1.3421148045786313E-2</v>
      </c>
      <c r="X93" s="16">
        <v>9.6278822827825516E-3</v>
      </c>
      <c r="Y93" s="16">
        <v>5.0327187235177373E-3</v>
      </c>
      <c r="Z93" s="16">
        <v>1.7482831264922116E-2</v>
      </c>
      <c r="AA93" s="16">
        <v>3.4473780928258702E-2</v>
      </c>
      <c r="AB93" s="16">
        <v>2.7610873520365287E-2</v>
      </c>
      <c r="AC93" s="16">
        <v>1.6677763238305277E-2</v>
      </c>
      <c r="AD93" s="16">
        <v>1.6871306235562433E-2</v>
      </c>
      <c r="AE93" s="16">
        <v>1.8893926292472552E-2</v>
      </c>
      <c r="AF93" s="16">
        <v>2.6303062277382216E-2</v>
      </c>
      <c r="AG93" s="16">
        <v>1.4352035850540346E-2</v>
      </c>
      <c r="AH93" s="16">
        <v>2.7699325830602195E-2</v>
      </c>
      <c r="AI93" s="16">
        <v>6.8830712515299819E-3</v>
      </c>
      <c r="AJ93" s="16">
        <v>6.3446673991315317E-3</v>
      </c>
      <c r="AK93" s="16">
        <v>3.3482192202148764E-2</v>
      </c>
      <c r="AL93" s="16">
        <v>1.6400941312762818E-2</v>
      </c>
      <c r="AM93" s="16">
        <v>3.0861692550808728E-3</v>
      </c>
      <c r="AN93" s="16">
        <v>4.8393391124238572E-2</v>
      </c>
      <c r="AO93" s="16">
        <v>9.9620036229903786E-3</v>
      </c>
      <c r="AP93" s="16">
        <v>2.5580448820220147E-2</v>
      </c>
      <c r="AQ93" s="16">
        <v>2.0410067386276376E-2</v>
      </c>
      <c r="AR93" s="16">
        <v>1.3119436502203707E-2</v>
      </c>
      <c r="AS93" s="16">
        <v>1.9258021178326867E-2</v>
      </c>
      <c r="AT93" s="16">
        <v>3.2837882836115995E-2</v>
      </c>
      <c r="AU93" s="16">
        <v>4.7171787686947741E-2</v>
      </c>
      <c r="AV93" s="16">
        <v>2.128625052883093E-2</v>
      </c>
      <c r="AW93" s="16">
        <v>2.8604204508029474E-2</v>
      </c>
      <c r="AX93" s="16">
        <v>5.9186022984077935E-3</v>
      </c>
      <c r="AY93" s="16">
        <v>1.5622314932253634E-2</v>
      </c>
      <c r="AZ93" s="16">
        <v>1.7356485081859052E-2</v>
      </c>
      <c r="BA93" s="16">
        <v>2.6523910542832096E-2</v>
      </c>
      <c r="BB93" s="16">
        <v>1.2134503056630552E-2</v>
      </c>
      <c r="BC93" s="16">
        <v>2.6544989391571017E-2</v>
      </c>
      <c r="BD93" s="16">
        <v>1.4764916149491936E-2</v>
      </c>
      <c r="BE93" s="16">
        <v>2.6820411118766652E-2</v>
      </c>
      <c r="BF93" s="16">
        <v>4.1893085176772926E-3</v>
      </c>
      <c r="BG93" s="16">
        <v>2.6996142568306514E-2</v>
      </c>
      <c r="BH93" s="16">
        <v>2.6651119896132558E-2</v>
      </c>
      <c r="BI93" s="16">
        <v>2.2805139272199071E-2</v>
      </c>
      <c r="BJ93" s="16">
        <v>2.7867515280363686E-2</v>
      </c>
      <c r="BK93" s="16">
        <v>2.0340558138660647E-2</v>
      </c>
      <c r="BL93" s="16">
        <v>3.0526818972987035E-2</v>
      </c>
      <c r="BM93" s="16">
        <v>2.7452334677541934E-2</v>
      </c>
      <c r="BN93" s="16">
        <v>1.281552712730949E-2</v>
      </c>
      <c r="BO93" s="16">
        <v>2.3110147047906482E-2</v>
      </c>
      <c r="BP93" s="16">
        <v>5.784969327538747E-2</v>
      </c>
      <c r="BQ93" s="16">
        <v>2.2427849269330835E-2</v>
      </c>
      <c r="BR93" s="16">
        <v>1.2357980177830519E-2</v>
      </c>
      <c r="BS93" s="16">
        <v>2.0391163636341192E-2</v>
      </c>
      <c r="BT93" s="16">
        <v>3.5054371717300636E-2</v>
      </c>
      <c r="BU93" s="16">
        <v>2.5162955670829934E-3</v>
      </c>
      <c r="BV93" s="16">
        <v>6.7924539745076062E-2</v>
      </c>
      <c r="BW93" s="16">
        <v>2.0283356617767478E-2</v>
      </c>
      <c r="BX93" s="16">
        <v>3.3624860512314059E-2</v>
      </c>
      <c r="BY93" s="16">
        <v>4.2111237222190678E-2</v>
      </c>
      <c r="BZ93" s="16">
        <v>1.2105253366552216E-2</v>
      </c>
      <c r="CA93" s="16">
        <v>6.1923959348308966E-4</v>
      </c>
      <c r="CB93" s="16">
        <v>6.1651523035761935E-2</v>
      </c>
      <c r="CC93" s="16">
        <v>2.125197398529366E-2</v>
      </c>
      <c r="CD93" s="16">
        <v>3.4372870711759429E-2</v>
      </c>
      <c r="CE93" s="16">
        <v>2.5092896900367312E-2</v>
      </c>
      <c r="CF93" s="16">
        <v>1.789838113347908E-2</v>
      </c>
      <c r="CG93" s="16">
        <v>1.8971905920676213E-2</v>
      </c>
      <c r="CH93" s="16">
        <v>3.9697551838243639E-3</v>
      </c>
      <c r="CI93" s="16">
        <v>8.7785804268731837E-3</v>
      </c>
      <c r="CJ93" s="16">
        <v>3.9792707998116295E-2</v>
      </c>
      <c r="CK93" s="16">
        <v>6.7264216607479943E-3</v>
      </c>
      <c r="CL93" s="16">
        <v>1.4220124369562104E-2</v>
      </c>
      <c r="CM93" s="16">
        <v>6.5653699138381594E-3</v>
      </c>
      <c r="CN93" s="16">
        <v>2.8173194691224257E-2</v>
      </c>
      <c r="CO93" s="16">
        <v>3.8756178881063974E-2</v>
      </c>
      <c r="CP93" s="16">
        <v>7.2714258450554681E-3</v>
      </c>
      <c r="CQ93" s="16">
        <v>1.8420085903050887E-2</v>
      </c>
      <c r="CR93" s="16">
        <v>1.352905163602458E-2</v>
      </c>
      <c r="CS93" s="16">
        <v>3.6260586138709971E-3</v>
      </c>
      <c r="CT93" s="16">
        <v>2.5062989715226469E-2</v>
      </c>
      <c r="CU93" s="16">
        <v>2.8881470486851191E-3</v>
      </c>
      <c r="CV93" s="16">
        <v>2.7709931552502787E-2</v>
      </c>
      <c r="CW93" s="16">
        <v>3.1121281792874433E-2</v>
      </c>
      <c r="CX93" s="16">
        <v>8.9593885120808903E-3</v>
      </c>
      <c r="CY93" s="16">
        <v>4.7244235075271868E-2</v>
      </c>
      <c r="CZ93" s="16">
        <v>3.9899956906975786E-3</v>
      </c>
      <c r="DA93" s="16">
        <v>2.4150052696877089E-2</v>
      </c>
      <c r="DB93" s="16">
        <v>2.9231489014524104E-2</v>
      </c>
      <c r="DC93" s="16">
        <v>1.2249519958704047E-2</v>
      </c>
      <c r="DD93" s="16">
        <v>1.6201534373184501E-2</v>
      </c>
      <c r="DE93" s="16">
        <v>2.1849686771248766E-2</v>
      </c>
      <c r="DF93" s="16">
        <v>1.5301215734684015E-2</v>
      </c>
      <c r="DG93" s="16">
        <v>3.7044002540738141E-2</v>
      </c>
      <c r="DH93" s="16">
        <v>3.5444406702390574E-2</v>
      </c>
      <c r="DI93" s="16">
        <v>1.4099821242258392E-2</v>
      </c>
      <c r="DJ93" s="16">
        <v>9.8517825988938545E-3</v>
      </c>
      <c r="DK93" s="16">
        <v>1.3141836964489229E-2</v>
      </c>
      <c r="DL93" s="16">
        <v>7.4249132786731176E-3</v>
      </c>
      <c r="DM93" s="16">
        <v>8.6686899988274169E-3</v>
      </c>
      <c r="DN93" s="16">
        <v>3.2411251461910151E-3</v>
      </c>
    </row>
    <row r="94" spans="4:118" x14ac:dyDescent="0.2">
      <c r="D94" s="13">
        <v>86</v>
      </c>
      <c r="E94" s="14">
        <f>1-IFERROR(_xlfn.LOGNORM.DIST(D94,Parameter!$G$6,Parameter!$G$7,TRUE),0)</f>
        <v>1.977940303262038E-2</v>
      </c>
      <c r="F94" s="15">
        <f t="shared" si="2"/>
        <v>5.3002308184683135E-2</v>
      </c>
      <c r="G94" s="15">
        <f t="shared" si="3"/>
        <v>2.9344885202349348E-3</v>
      </c>
      <c r="R94" s="14">
        <f ca="1">1-IFERROR(_xlfn.LOGNORM.DIST($D94,Parameter!$E$6,Parameter!$E$7,TRUE),0)</f>
        <v>1.8422098719295565E-2</v>
      </c>
      <c r="S94" s="16">
        <v>6.8920368858753633E-3</v>
      </c>
      <c r="T94" s="16">
        <v>6.5928687057661417E-3</v>
      </c>
      <c r="U94" s="16">
        <v>2.269659450634165E-2</v>
      </c>
      <c r="V94" s="16">
        <v>4.6410399098822275E-2</v>
      </c>
      <c r="W94" s="16">
        <v>1.3285554742664685E-2</v>
      </c>
      <c r="X94" s="16">
        <v>9.5055782387920562E-3</v>
      </c>
      <c r="Y94" s="16">
        <v>4.9648569746822968E-3</v>
      </c>
      <c r="Z94" s="16">
        <v>1.7324381358540086E-2</v>
      </c>
      <c r="AA94" s="16">
        <v>3.4197737858059796E-2</v>
      </c>
      <c r="AB94" s="16">
        <v>2.7338678387057613E-2</v>
      </c>
      <c r="AC94" s="16">
        <v>1.6506957684093937E-2</v>
      </c>
      <c r="AD94" s="16">
        <v>1.6700530033360916E-2</v>
      </c>
      <c r="AE94" s="16">
        <v>1.8709142913127752E-2</v>
      </c>
      <c r="AF94" s="16">
        <v>2.6063654247456602E-2</v>
      </c>
      <c r="AG94" s="16">
        <v>1.4165121753640042E-2</v>
      </c>
      <c r="AH94" s="16">
        <v>2.7474842802728161E-2</v>
      </c>
      <c r="AI94" s="16">
        <v>6.7989482539043689E-3</v>
      </c>
      <c r="AJ94" s="16">
        <v>6.2604282862882554E-3</v>
      </c>
      <c r="AK94" s="16">
        <v>3.3235428890697527E-2</v>
      </c>
      <c r="AL94" s="16">
        <v>1.6241379652318311E-2</v>
      </c>
      <c r="AM94" s="16">
        <v>3.0359737508491857E-3</v>
      </c>
      <c r="AN94" s="16">
        <v>4.8041128604486283E-2</v>
      </c>
      <c r="AO94" s="16">
        <v>9.8478725195830785E-3</v>
      </c>
      <c r="AP94" s="16">
        <v>2.5373928423356618E-2</v>
      </c>
      <c r="AQ94" s="16">
        <v>2.0234984854792137E-2</v>
      </c>
      <c r="AR94" s="16">
        <v>1.2963952192737604E-2</v>
      </c>
      <c r="AS94" s="16">
        <v>1.9070124335743732E-2</v>
      </c>
      <c r="AT94" s="16">
        <v>3.2571247190848029E-2</v>
      </c>
      <c r="AU94" s="16">
        <v>4.6824662012914353E-2</v>
      </c>
      <c r="AV94" s="16">
        <v>2.106784227126246E-2</v>
      </c>
      <c r="AW94" s="16">
        <v>2.8383750745791358E-2</v>
      </c>
      <c r="AX94" s="16">
        <v>5.8393538725100003E-3</v>
      </c>
      <c r="AY94" s="16">
        <v>1.5440250846351589E-2</v>
      </c>
      <c r="AZ94" s="16">
        <v>1.7187607559135065E-2</v>
      </c>
      <c r="BA94" s="16">
        <v>2.6250237264985099E-2</v>
      </c>
      <c r="BB94" s="16">
        <v>1.1995432757734181E-2</v>
      </c>
      <c r="BC94" s="16">
        <v>2.6280623924429425E-2</v>
      </c>
      <c r="BD94" s="16">
        <v>1.4628959843139611E-2</v>
      </c>
      <c r="BE94" s="16">
        <v>2.6581346138653705E-2</v>
      </c>
      <c r="BF94" s="16">
        <v>4.1263819883902153E-3</v>
      </c>
      <c r="BG94" s="16">
        <v>2.6727154376532836E-2</v>
      </c>
      <c r="BH94" s="16">
        <v>2.6425247293996867E-2</v>
      </c>
      <c r="BI94" s="16">
        <v>2.2607399364297454E-2</v>
      </c>
      <c r="BJ94" s="16">
        <v>2.7624554391159406E-2</v>
      </c>
      <c r="BK94" s="16">
        <v>2.0159158389933873E-2</v>
      </c>
      <c r="BL94" s="16">
        <v>3.0240469593849295E-2</v>
      </c>
      <c r="BM94" s="16">
        <v>2.7212453947743964E-2</v>
      </c>
      <c r="BN94" s="16">
        <v>1.2665721570341182E-2</v>
      </c>
      <c r="BO94" s="16">
        <v>2.2902859089157235E-2</v>
      </c>
      <c r="BP94" s="16">
        <v>5.7490994471528056E-2</v>
      </c>
      <c r="BQ94" s="16">
        <v>2.2235824517080394E-2</v>
      </c>
      <c r="BR94" s="16">
        <v>1.221621416567753E-2</v>
      </c>
      <c r="BS94" s="16">
        <v>2.0215170760487733E-2</v>
      </c>
      <c r="BT94" s="16">
        <v>3.4735167713065507E-2</v>
      </c>
      <c r="BU94" s="16">
        <v>2.4746251015812515E-3</v>
      </c>
      <c r="BV94" s="16">
        <v>6.7513438354338429E-2</v>
      </c>
      <c r="BW94" s="16">
        <v>2.0084875000258129E-2</v>
      </c>
      <c r="BX94" s="16">
        <v>3.3317611327812635E-2</v>
      </c>
      <c r="BY94" s="16">
        <v>4.1808374383838331E-2</v>
      </c>
      <c r="BZ94" s="16">
        <v>1.1956392692867635E-2</v>
      </c>
      <c r="CA94" s="16">
        <v>6.061459901161026E-4</v>
      </c>
      <c r="CB94" s="16">
        <v>6.121036041233574E-2</v>
      </c>
      <c r="CC94" s="16">
        <v>2.1031864468855854E-2</v>
      </c>
      <c r="CD94" s="16">
        <v>3.4095003759277986E-2</v>
      </c>
      <c r="CE94" s="16">
        <v>2.4875321734495248E-2</v>
      </c>
      <c r="CF94" s="16">
        <v>1.7723928965358793E-2</v>
      </c>
      <c r="CG94" s="16">
        <v>1.8777245203193016E-2</v>
      </c>
      <c r="CH94" s="16">
        <v>3.9117186953178118E-3</v>
      </c>
      <c r="CI94" s="16">
        <v>8.6871571470013009E-3</v>
      </c>
      <c r="CJ94" s="16">
        <v>3.9487210027583597E-2</v>
      </c>
      <c r="CK94" s="16">
        <v>6.6376178631150085E-3</v>
      </c>
      <c r="CL94" s="16">
        <v>1.4060401907865172E-2</v>
      </c>
      <c r="CM94" s="16">
        <v>6.4844716719344442E-3</v>
      </c>
      <c r="CN94" s="16">
        <v>2.7941835853377506E-2</v>
      </c>
      <c r="CO94" s="16">
        <v>3.8448035449421103E-2</v>
      </c>
      <c r="CP94" s="16">
        <v>7.1762336464853416E-3</v>
      </c>
      <c r="CQ94" s="16">
        <v>1.8238960605327259E-2</v>
      </c>
      <c r="CR94" s="16">
        <v>1.3386099146090014E-2</v>
      </c>
      <c r="CS94" s="16">
        <v>3.5737496598400309E-3</v>
      </c>
      <c r="CT94" s="16">
        <v>2.4784950855650134E-2</v>
      </c>
      <c r="CU94" s="16">
        <v>2.8426685496791837E-3</v>
      </c>
      <c r="CV94" s="16">
        <v>2.7478838256231763E-2</v>
      </c>
      <c r="CW94" s="16">
        <v>3.0862610544717173E-2</v>
      </c>
      <c r="CX94" s="16">
        <v>8.8629636143330304E-3</v>
      </c>
      <c r="CY94" s="16">
        <v>4.6886426899097944E-2</v>
      </c>
      <c r="CZ94" s="16">
        <v>3.927366237448715E-3</v>
      </c>
      <c r="DA94" s="16">
        <v>2.3955468086087728E-2</v>
      </c>
      <c r="DB94" s="16">
        <v>2.8929777856350647E-2</v>
      </c>
      <c r="DC94" s="16">
        <v>1.2097049763538759E-2</v>
      </c>
      <c r="DD94" s="16">
        <v>1.6006017714690568E-2</v>
      </c>
      <c r="DE94" s="16">
        <v>2.1638937429011795E-2</v>
      </c>
      <c r="DF94" s="16">
        <v>1.5152061096615044E-2</v>
      </c>
      <c r="DG94" s="16">
        <v>3.6767627367226829E-2</v>
      </c>
      <c r="DH94" s="16">
        <v>3.5155627278028456E-2</v>
      </c>
      <c r="DI94" s="16">
        <v>1.3949251990890144E-2</v>
      </c>
      <c r="DJ94" s="16">
        <v>9.731759720562283E-3</v>
      </c>
      <c r="DK94" s="16">
        <v>1.300740360974495E-2</v>
      </c>
      <c r="DL94" s="16">
        <v>7.3395891208748454E-3</v>
      </c>
      <c r="DM94" s="16">
        <v>8.5630758443513422E-3</v>
      </c>
      <c r="DN94" s="16">
        <v>3.1913115803061665E-3</v>
      </c>
    </row>
    <row r="95" spans="4:118" x14ac:dyDescent="0.2">
      <c r="D95" s="13">
        <v>87</v>
      </c>
      <c r="E95" s="14">
        <f>1-IFERROR(_xlfn.LOGNORM.DIST(D95,Parameter!$G$6,Parameter!$G$7,TRUE),0)</f>
        <v>1.958966433007614E-2</v>
      </c>
      <c r="F95" s="15">
        <f t="shared" si="2"/>
        <v>5.265264138070623E-2</v>
      </c>
      <c r="G95" s="15">
        <f t="shared" si="3"/>
        <v>2.8879987626347693E-3</v>
      </c>
      <c r="R95" s="14">
        <f ca="1">1-IFERROR(_xlfn.LOGNORM.DIST($D95,Parameter!$E$6,Parameter!$E$7,TRUE),0)</f>
        <v>1.8233381974300022E-2</v>
      </c>
      <c r="S95" s="16">
        <v>6.8128392414927852E-3</v>
      </c>
      <c r="T95" s="16">
        <v>6.5103842425581204E-3</v>
      </c>
      <c r="U95" s="16">
        <v>2.2464101527425062E-2</v>
      </c>
      <c r="V95" s="16">
        <v>4.6068199258609943E-2</v>
      </c>
      <c r="W95" s="16">
        <v>1.3152693541678251E-2</v>
      </c>
      <c r="X95" s="16">
        <v>9.3860252896548202E-3</v>
      </c>
      <c r="Y95" s="16">
        <v>4.8985820783049583E-3</v>
      </c>
      <c r="Z95" s="16">
        <v>1.7168970318000354E-2</v>
      </c>
      <c r="AA95" s="16">
        <v>3.3926674342662499E-2</v>
      </c>
      <c r="AB95" s="16">
        <v>2.7071833078729401E-2</v>
      </c>
      <c r="AC95" s="16">
        <v>1.6339600558019196E-2</v>
      </c>
      <c r="AD95" s="16">
        <v>1.6533183738756341E-2</v>
      </c>
      <c r="AE95" s="16">
        <v>1.8528009559436343E-2</v>
      </c>
      <c r="AF95" s="16">
        <v>2.5828807755241545E-2</v>
      </c>
      <c r="AG95" s="16">
        <v>1.3982433472868427E-2</v>
      </c>
      <c r="AH95" s="16">
        <v>2.7254447712344976E-2</v>
      </c>
      <c r="AI95" s="16">
        <v>6.7166916867504867E-3</v>
      </c>
      <c r="AJ95" s="16">
        <v>6.1781378245485685E-3</v>
      </c>
      <c r="AK95" s="16">
        <v>3.2992992426249201E-2</v>
      </c>
      <c r="AL95" s="16">
        <v>1.6084971323617969E-2</v>
      </c>
      <c r="AM95" s="16">
        <v>2.9870824589606215E-3</v>
      </c>
      <c r="AN95" s="16">
        <v>4.7694958245599883E-2</v>
      </c>
      <c r="AO95" s="16">
        <v>9.7361847287966707E-3</v>
      </c>
      <c r="AP95" s="16">
        <v>2.5171169962811324E-2</v>
      </c>
      <c r="AQ95" s="16">
        <v>2.0063179492525007E-2</v>
      </c>
      <c r="AR95" s="16">
        <v>1.2811833749425627E-2</v>
      </c>
      <c r="AS95" s="16">
        <v>1.888593396516014E-2</v>
      </c>
      <c r="AT95" s="16">
        <v>3.2309451497389396E-2</v>
      </c>
      <c r="AU95" s="16">
        <v>4.6483566001493504E-2</v>
      </c>
      <c r="AV95" s="16">
        <v>2.0853825416297767E-2</v>
      </c>
      <c r="AW95" s="16">
        <v>2.8167236863933742E-2</v>
      </c>
      <c r="AX95" s="16">
        <v>5.7619481612991574E-3</v>
      </c>
      <c r="AY95" s="16">
        <v>1.5262084685796484E-2</v>
      </c>
      <c r="AZ95" s="16">
        <v>1.7022064165119644E-2</v>
      </c>
      <c r="BA95" s="16">
        <v>2.5982051866131117E-2</v>
      </c>
      <c r="BB95" s="16">
        <v>1.1859330666352252E-2</v>
      </c>
      <c r="BC95" s="16">
        <v>2.6021481341736874E-2</v>
      </c>
      <c r="BD95" s="16">
        <v>1.4495635289040298E-2</v>
      </c>
      <c r="BE95" s="16">
        <v>2.6346797035193492E-2</v>
      </c>
      <c r="BF95" s="16">
        <v>4.0650154602368538E-3</v>
      </c>
      <c r="BG95" s="16">
        <v>2.6463479297762826E-2</v>
      </c>
      <c r="BH95" s="16">
        <v>2.6203560379177593E-2</v>
      </c>
      <c r="BI95" s="16">
        <v>2.2413367938302953E-2</v>
      </c>
      <c r="BJ95" s="16">
        <v>2.7386139974602819E-2</v>
      </c>
      <c r="BK95" s="16">
        <v>1.9981205816172909E-2</v>
      </c>
      <c r="BL95" s="16">
        <v>2.9959622054061441E-2</v>
      </c>
      <c r="BM95" s="16">
        <v>2.6977067466702476E-2</v>
      </c>
      <c r="BN95" s="16">
        <v>1.2519139580320249E-2</v>
      </c>
      <c r="BO95" s="16">
        <v>2.2699509061084422E-2</v>
      </c>
      <c r="BP95" s="16">
        <v>5.7138164217231169E-2</v>
      </c>
      <c r="BQ95" s="16">
        <v>2.204738487004998E-2</v>
      </c>
      <c r="BR95" s="16">
        <v>1.207747427379724E-2</v>
      </c>
      <c r="BS95" s="16">
        <v>2.0042479888135012E-2</v>
      </c>
      <c r="BT95" s="16">
        <v>3.4422003482008412E-2</v>
      </c>
      <c r="BU95" s="16">
        <v>2.434050711482727E-3</v>
      </c>
      <c r="BV95" s="16">
        <v>6.7108981821461411E-2</v>
      </c>
      <c r="BW95" s="16">
        <v>1.9890309337016077E-2</v>
      </c>
      <c r="BX95" s="16">
        <v>3.3016190089793729E-2</v>
      </c>
      <c r="BY95" s="16">
        <v>4.1510748740775649E-2</v>
      </c>
      <c r="BZ95" s="16">
        <v>1.1810815831441834E-2</v>
      </c>
      <c r="CA95" s="16">
        <v>5.9345550397638114E-4</v>
      </c>
      <c r="CB95" s="16">
        <v>6.0776726100030487E-2</v>
      </c>
      <c r="CC95" s="16">
        <v>2.0816198462575208E-2</v>
      </c>
      <c r="CD95" s="16">
        <v>3.3822166878168858E-2</v>
      </c>
      <c r="CE95" s="16">
        <v>2.4661818916421829E-2</v>
      </c>
      <c r="CF95" s="16">
        <v>1.7552921472864469E-2</v>
      </c>
      <c r="CG95" s="16">
        <v>1.8586507789424722E-2</v>
      </c>
      <c r="CH95" s="16">
        <v>3.8551013436523007E-3</v>
      </c>
      <c r="CI95" s="16">
        <v>8.5976123903399593E-3</v>
      </c>
      <c r="CJ95" s="16">
        <v>3.918712150113457E-2</v>
      </c>
      <c r="CK95" s="16">
        <v>6.5508608585811423E-3</v>
      </c>
      <c r="CL95" s="16">
        <v>1.3904047865415436E-2</v>
      </c>
      <c r="CM95" s="16">
        <v>6.4053765192859657E-3</v>
      </c>
      <c r="CN95" s="16">
        <v>2.7714709068889842E-2</v>
      </c>
      <c r="CO95" s="16">
        <v>3.8145419865810659E-2</v>
      </c>
      <c r="CP95" s="16">
        <v>7.083223882008105E-3</v>
      </c>
      <c r="CQ95" s="16">
        <v>1.8061422906730074E-2</v>
      </c>
      <c r="CR95" s="16">
        <v>1.3246083053987334E-2</v>
      </c>
      <c r="CS95" s="16">
        <v>3.5227121516652193E-3</v>
      </c>
      <c r="CT95" s="16">
        <v>2.4512673526618234E-2</v>
      </c>
      <c r="CU95" s="16">
        <v>2.7983516088161409E-3</v>
      </c>
      <c r="CV95" s="16">
        <v>2.7251997966494579E-2</v>
      </c>
      <c r="CW95" s="16">
        <v>3.0608681226791057E-2</v>
      </c>
      <c r="CX95" s="16">
        <v>8.7685484429539384E-3</v>
      </c>
      <c r="CY95" s="16">
        <v>4.6534894472096133E-2</v>
      </c>
      <c r="CZ95" s="16">
        <v>3.8663277302972698E-3</v>
      </c>
      <c r="DA95" s="16">
        <v>2.3764429565593881E-2</v>
      </c>
      <c r="DB95" s="16">
        <v>2.8634102834155462E-2</v>
      </c>
      <c r="DC95" s="16">
        <v>1.1947961841099808E-2</v>
      </c>
      <c r="DD95" s="16">
        <v>1.5814752404540666E-2</v>
      </c>
      <c r="DE95" s="16">
        <v>2.1432315059066953E-2</v>
      </c>
      <c r="DF95" s="16">
        <v>1.5005860168258889E-2</v>
      </c>
      <c r="DG95" s="16">
        <v>3.6496106806116146E-2</v>
      </c>
      <c r="DH95" s="16">
        <v>3.4872086263714963E-2</v>
      </c>
      <c r="DI95" s="16">
        <v>1.3801787776452357E-2</v>
      </c>
      <c r="DJ95" s="16">
        <v>9.6143818191745112E-3</v>
      </c>
      <c r="DK95" s="16">
        <v>1.2875694419148154E-2</v>
      </c>
      <c r="DL95" s="16">
        <v>7.2561019361738754E-3</v>
      </c>
      <c r="DM95" s="16">
        <v>8.4597937731328843E-3</v>
      </c>
      <c r="DN95" s="16">
        <v>3.1427520013762589E-3</v>
      </c>
    </row>
    <row r="96" spans="4:118" x14ac:dyDescent="0.2">
      <c r="D96" s="13">
        <v>88</v>
      </c>
      <c r="E96" s="14">
        <f>1-IFERROR(_xlfn.LOGNORM.DIST(D96,Parameter!$G$6,Parameter!$G$7,TRUE),0)</f>
        <v>1.9403615608068803E-2</v>
      </c>
      <c r="F96" s="15">
        <f t="shared" si="2"/>
        <v>5.2308785576361136E-2</v>
      </c>
      <c r="G96" s="15">
        <f t="shared" si="3"/>
        <v>2.84269429142322E-3</v>
      </c>
      <c r="R96" s="14">
        <f ca="1">1-IFERROR(_xlfn.LOGNORM.DIST($D96,Parameter!$E$6,Parameter!$E$7,TRUE),0)</f>
        <v>1.8048443754842824E-2</v>
      </c>
      <c r="S96" s="16">
        <v>6.735338024839721E-3</v>
      </c>
      <c r="T96" s="16">
        <v>6.4297410114252385E-3</v>
      </c>
      <c r="U96" s="16">
        <v>2.2236242968673325E-2</v>
      </c>
      <c r="V96" s="16">
        <v>4.5731905456150135E-2</v>
      </c>
      <c r="W96" s="16">
        <v>1.3022480909984924E-2</v>
      </c>
      <c r="X96" s="16">
        <v>9.2691335696299948E-3</v>
      </c>
      <c r="Y96" s="16">
        <v>4.8338407068848621E-3</v>
      </c>
      <c r="Z96" s="16">
        <v>1.7016507936337133E-2</v>
      </c>
      <c r="AA96" s="16">
        <v>3.3660448258197584E-2</v>
      </c>
      <c r="AB96" s="16">
        <v>2.6810177457768702E-2</v>
      </c>
      <c r="AC96" s="16">
        <v>1.6175586515639107E-2</v>
      </c>
      <c r="AD96" s="16">
        <v>1.6369162887286737E-2</v>
      </c>
      <c r="AE96" s="16">
        <v>1.8350416199037767E-2</v>
      </c>
      <c r="AF96" s="16">
        <v>2.5598388415272177E-2</v>
      </c>
      <c r="AG96" s="16">
        <v>1.3803833138053889E-2</v>
      </c>
      <c r="AH96" s="16">
        <v>2.7038023029425817E-2</v>
      </c>
      <c r="AI96" s="16">
        <v>6.6362409094002928E-3</v>
      </c>
      <c r="AJ96" s="16">
        <v>6.0977310645670135E-3</v>
      </c>
      <c r="AK96" s="16">
        <v>3.2754761054958004E-2</v>
      </c>
      <c r="AL96" s="16">
        <v>1.5931621114884997E-2</v>
      </c>
      <c r="AM96" s="16">
        <v>2.9394484223047579E-3</v>
      </c>
      <c r="AN96" s="16">
        <v>4.7354710546637535E-2</v>
      </c>
      <c r="AO96" s="16">
        <v>9.6268627325682976E-3</v>
      </c>
      <c r="AP96" s="16">
        <v>2.4972065180135838E-2</v>
      </c>
      <c r="AQ96" s="16">
        <v>1.989455542041163E-2</v>
      </c>
      <c r="AR96" s="16">
        <v>1.2662973966355184E-2</v>
      </c>
      <c r="AS96" s="16">
        <v>1.8705338437264851E-2</v>
      </c>
      <c r="AT96" s="16">
        <v>3.2052357093647177E-2</v>
      </c>
      <c r="AU96" s="16">
        <v>4.6148331469732295E-2</v>
      </c>
      <c r="AV96" s="16">
        <v>2.0644066462391142E-2</v>
      </c>
      <c r="AW96" s="16">
        <v>2.7954550728190863E-2</v>
      </c>
      <c r="AX96" s="16">
        <v>5.6863235218900243E-3</v>
      </c>
      <c r="AY96" s="16">
        <v>1.5087693305350314E-2</v>
      </c>
      <c r="AZ96" s="16">
        <v>1.6859754336308597E-2</v>
      </c>
      <c r="BA96" s="16">
        <v>2.5719188213034649E-2</v>
      </c>
      <c r="BB96" s="16">
        <v>1.1726102936484795E-2</v>
      </c>
      <c r="BC96" s="16">
        <v>2.5767404791783632E-2</v>
      </c>
      <c r="BD96" s="16">
        <v>1.4364863858298493E-2</v>
      </c>
      <c r="BE96" s="16">
        <v>2.6116631404188961E-2</v>
      </c>
      <c r="BF96" s="16">
        <v>4.0051545185115778E-3</v>
      </c>
      <c r="BG96" s="16">
        <v>2.6204957823586894E-2</v>
      </c>
      <c r="BH96" s="16">
        <v>2.5985937655186864E-2</v>
      </c>
      <c r="BI96" s="16">
        <v>2.2222936493938694E-2</v>
      </c>
      <c r="BJ96" s="16">
        <v>2.7152139447037205E-2</v>
      </c>
      <c r="BK96" s="16">
        <v>1.9806598736160641E-2</v>
      </c>
      <c r="BL96" s="16">
        <v>2.9684113848074345E-2</v>
      </c>
      <c r="BM96" s="16">
        <v>2.6746044068369002E-2</v>
      </c>
      <c r="BN96" s="16">
        <v>1.2375678812000968E-2</v>
      </c>
      <c r="BO96" s="16">
        <v>2.2499980969669764E-2</v>
      </c>
      <c r="BP96" s="16">
        <v>5.6791043936587404E-2</v>
      </c>
      <c r="BQ96" s="16">
        <v>2.1862425673179087E-2</v>
      </c>
      <c r="BR96" s="16">
        <v>1.1941664834509536E-2</v>
      </c>
      <c r="BS96" s="16">
        <v>1.9872994290021206E-2</v>
      </c>
      <c r="BT96" s="16">
        <v>3.4114702390212859E-2</v>
      </c>
      <c r="BU96" s="16">
        <v>2.3945325694362252E-3</v>
      </c>
      <c r="BV96" s="16">
        <v>6.6710992011591586E-2</v>
      </c>
      <c r="BW96" s="16">
        <v>1.9699541741186044E-2</v>
      </c>
      <c r="BX96" s="16">
        <v>3.2720426039971606E-2</v>
      </c>
      <c r="BY96" s="16">
        <v>4.1218214325688729E-2</v>
      </c>
      <c r="BZ96" s="16">
        <v>1.166841696126919E-2</v>
      </c>
      <c r="CA96" s="16">
        <v>5.8115174748962772E-4</v>
      </c>
      <c r="CB96" s="16">
        <v>6.0350412764849315E-2</v>
      </c>
      <c r="CC96" s="16">
        <v>2.0604840579738437E-2</v>
      </c>
      <c r="CD96" s="16">
        <v>3.3554216239257917E-2</v>
      </c>
      <c r="CE96" s="16">
        <v>2.4452269540121252E-2</v>
      </c>
      <c r="CF96" s="16">
        <v>1.7385254780299064E-2</v>
      </c>
      <c r="CG96" s="16">
        <v>1.8399574099046356E-2</v>
      </c>
      <c r="CH96" s="16">
        <v>3.7998540299318817E-3</v>
      </c>
      <c r="CI96" s="16">
        <v>8.5098878949962931E-3</v>
      </c>
      <c r="CJ96" s="16">
        <v>3.8892289743695962E-2</v>
      </c>
      <c r="CK96" s="16">
        <v>6.4660826064206756E-3</v>
      </c>
      <c r="CL96" s="16">
        <v>1.3750956627439193E-2</v>
      </c>
      <c r="CM96" s="16">
        <v>6.3280256943963886E-3</v>
      </c>
      <c r="CN96" s="16">
        <v>2.7491692400432921E-2</v>
      </c>
      <c r="CO96" s="16">
        <v>3.7848175030870124E-2</v>
      </c>
      <c r="CP96" s="16">
        <v>6.9923242768656912E-3</v>
      </c>
      <c r="CQ96" s="16">
        <v>1.7887364466597555E-2</v>
      </c>
      <c r="CR96" s="16">
        <v>1.310891260911784E-2</v>
      </c>
      <c r="CS96" s="16">
        <v>3.4729022370527662E-3</v>
      </c>
      <c r="CT96" s="16">
        <v>2.4245980042977622E-2</v>
      </c>
      <c r="CU96" s="16">
        <v>2.7551548396732572E-3</v>
      </c>
      <c r="CV96" s="16">
        <v>2.7029287729641305E-2</v>
      </c>
      <c r="CW96" s="16">
        <v>3.0359357205606785E-2</v>
      </c>
      <c r="CX96" s="16">
        <v>8.6760801629881534E-3</v>
      </c>
      <c r="CY96" s="16">
        <v>4.6189461913555885E-2</v>
      </c>
      <c r="CZ96" s="16">
        <v>3.8068238031382373E-3</v>
      </c>
      <c r="DA96" s="16">
        <v>2.3576835010066133E-2</v>
      </c>
      <c r="DB96" s="16">
        <v>2.8344281695535045E-2</v>
      </c>
      <c r="DC96" s="16">
        <v>1.1802146857347928E-2</v>
      </c>
      <c r="DD96" s="16">
        <v>1.5627603001103774E-2</v>
      </c>
      <c r="DE96" s="16">
        <v>2.1229696024602007E-2</v>
      </c>
      <c r="DF96" s="16">
        <v>1.4862523609409983E-2</v>
      </c>
      <c r="DG96" s="16">
        <v>3.6229304279447483E-2</v>
      </c>
      <c r="DH96" s="16">
        <v>3.4593633770891641E-2</v>
      </c>
      <c r="DI96" s="16">
        <v>1.3657332459584448E-2</v>
      </c>
      <c r="DJ96" s="16">
        <v>9.499563545324663E-3</v>
      </c>
      <c r="DK96" s="16">
        <v>1.2746625821679736E-2</v>
      </c>
      <c r="DL96" s="16">
        <v>7.1743931211030176E-3</v>
      </c>
      <c r="DM96" s="16">
        <v>8.3587683628086884E-3</v>
      </c>
      <c r="DN96" s="16">
        <v>3.0954021694057365E-3</v>
      </c>
    </row>
    <row r="97" spans="4:118" x14ac:dyDescent="0.2">
      <c r="D97" s="13">
        <v>89</v>
      </c>
      <c r="E97" s="14">
        <f>1-IFERROR(_xlfn.LOGNORM.DIST(D97,Parameter!$G$6,Parameter!$G$7,TRUE),0)</f>
        <v>1.9221147181275988E-2</v>
      </c>
      <c r="F97" s="15">
        <f t="shared" si="2"/>
        <v>5.1970583229951461E-2</v>
      </c>
      <c r="G97" s="15">
        <f t="shared" si="3"/>
        <v>2.798533095998612E-3</v>
      </c>
      <c r="R97" s="14">
        <f ca="1">1-IFERROR(_xlfn.LOGNORM.DIST($D97,Parameter!$E$6,Parameter!$E$7,TRUE),0)</f>
        <v>1.7867169849134279E-2</v>
      </c>
      <c r="S97" s="16">
        <v>6.6594794975574079E-3</v>
      </c>
      <c r="T97" s="16">
        <v>6.3508792253785806E-3</v>
      </c>
      <c r="U97" s="16">
        <v>2.2012879419775477E-2</v>
      </c>
      <c r="V97" s="16">
        <v>4.5401354372342384E-2</v>
      </c>
      <c r="W97" s="16">
        <v>1.2894836740138693E-2</v>
      </c>
      <c r="X97" s="16">
        <v>9.1548170672071105E-3</v>
      </c>
      <c r="Y97" s="16">
        <v>4.7705818716261561E-3</v>
      </c>
      <c r="Z97" s="16">
        <v>1.6866907631368555E-2</v>
      </c>
      <c r="AA97" s="16">
        <v>3.339892303112213E-2</v>
      </c>
      <c r="AB97" s="16">
        <v>2.655355783537483E-2</v>
      </c>
      <c r="AC97" s="16">
        <v>1.6014814524740295E-2</v>
      </c>
      <c r="AD97" s="16">
        <v>1.620836728223507E-2</v>
      </c>
      <c r="AE97" s="16">
        <v>1.8176257262514595E-2</v>
      </c>
      <c r="AF97" s="16">
        <v>2.5372267203305876E-2</v>
      </c>
      <c r="AG97" s="16">
        <v>1.3629188770734713E-2</v>
      </c>
      <c r="AH97" s="16">
        <v>2.6825455841007151E-2</v>
      </c>
      <c r="AI97" s="16">
        <v>6.5575378773449211E-3</v>
      </c>
      <c r="AJ97" s="16">
        <v>6.0191458865399561E-3</v>
      </c>
      <c r="AK97" s="16">
        <v>3.2520617737737734E-2</v>
      </c>
      <c r="AL97" s="16">
        <v>1.5781237683287874E-2</v>
      </c>
      <c r="AM97" s="16">
        <v>2.8930268473299492E-3</v>
      </c>
      <c r="AN97" s="16">
        <v>4.7020222508936449E-2</v>
      </c>
      <c r="AO97" s="16">
        <v>9.5198322739351582E-3</v>
      </c>
      <c r="AP97" s="16">
        <v>2.4776510074146718E-2</v>
      </c>
      <c r="AQ97" s="16">
        <v>1.9729020573749256E-2</v>
      </c>
      <c r="AR97" s="16">
        <v>1.251727015182591E-2</v>
      </c>
      <c r="AS97" s="16">
        <v>1.8528230647246402E-2</v>
      </c>
      <c r="AT97" s="16">
        <v>3.1799830746978786E-2</v>
      </c>
      <c r="AU97" s="16">
        <v>4.5818796697293718E-2</v>
      </c>
      <c r="AV97" s="16">
        <v>2.0438437347176097E-2</v>
      </c>
      <c r="AW97" s="16">
        <v>2.7745584581095106E-2</v>
      </c>
      <c r="AX97" s="16">
        <v>5.6124210043948519E-3</v>
      </c>
      <c r="AY97" s="16">
        <v>1.4916958711902795E-2</v>
      </c>
      <c r="AZ97" s="16">
        <v>1.6700581591537755E-2</v>
      </c>
      <c r="BA97" s="16">
        <v>2.5461486911329323E-2</v>
      </c>
      <c r="BB97" s="16">
        <v>1.1595659656942647E-2</v>
      </c>
      <c r="BC97" s="16">
        <v>2.5518243754167114E-2</v>
      </c>
      <c r="BD97" s="16">
        <v>1.4236570097264534E-2</v>
      </c>
      <c r="BE97" s="16">
        <v>2.5890722107310249E-2</v>
      </c>
      <c r="BF97" s="16">
        <v>3.9467471981180502E-3</v>
      </c>
      <c r="BG97" s="16">
        <v>2.5951436881899381E-2</v>
      </c>
      <c r="BH97" s="16">
        <v>2.5772262427893544E-2</v>
      </c>
      <c r="BI97" s="16">
        <v>2.2036000844842585E-2</v>
      </c>
      <c r="BJ97" s="16">
        <v>2.692242547890511E-2</v>
      </c>
      <c r="BK97" s="16">
        <v>1.9635239534889104E-2</v>
      </c>
      <c r="BL97" s="16">
        <v>2.941378895601221E-2</v>
      </c>
      <c r="BM97" s="16">
        <v>2.6519257787727901E-2</v>
      </c>
      <c r="BN97" s="16">
        <v>1.2235241221441262E-2</v>
      </c>
      <c r="BO97" s="16">
        <v>2.230416345190922E-2</v>
      </c>
      <c r="BP97" s="16">
        <v>5.6449481025155679E-2</v>
      </c>
      <c r="BQ97" s="16">
        <v>2.1680846426969658E-2</v>
      </c>
      <c r="BR97" s="16">
        <v>1.1808694190634683E-2</v>
      </c>
      <c r="BS97" s="16">
        <v>1.9706621088197984E-2</v>
      </c>
      <c r="BT97" s="16">
        <v>3.381309480266359E-2</v>
      </c>
      <c r="BU97" s="16">
        <v>2.3560326965808009E-3</v>
      </c>
      <c r="BV97" s="16">
        <v>6.631929745853693E-2</v>
      </c>
      <c r="BW97" s="16">
        <v>1.9512459101138524E-2</v>
      </c>
      <c r="BX97" s="16">
        <v>3.2430155196326638E-2</v>
      </c>
      <c r="BY97" s="16">
        <v>4.0930630782608612E-2</v>
      </c>
      <c r="BZ97" s="16">
        <v>1.1529094753374936E-2</v>
      </c>
      <c r="CA97" s="16">
        <v>5.6921916152996577E-4</v>
      </c>
      <c r="CB97" s="16">
        <v>5.9931220961477072E-2</v>
      </c>
      <c r="CC97" s="16">
        <v>2.0397660957353958E-2</v>
      </c>
      <c r="CD97" s="16">
        <v>3.3291013636658429E-2</v>
      </c>
      <c r="CE97" s="16">
        <v>2.4246559418551583E-2</v>
      </c>
      <c r="CF97" s="16">
        <v>1.7220829227438172E-2</v>
      </c>
      <c r="CG97" s="16">
        <v>1.8216329435638556E-2</v>
      </c>
      <c r="CH97" s="16">
        <v>3.7459298538440322E-3</v>
      </c>
      <c r="CI97" s="16">
        <v>8.4239278152313801E-3</v>
      </c>
      <c r="CJ97" s="16">
        <v>3.860256799620787E-2</v>
      </c>
      <c r="CK97" s="16">
        <v>6.3832180240245284E-3</v>
      </c>
      <c r="CL97" s="16">
        <v>1.3601026979369935E-2</v>
      </c>
      <c r="CM97" s="16">
        <v>6.2523629571382688E-3</v>
      </c>
      <c r="CN97" s="16">
        <v>2.7272668706800007E-2</v>
      </c>
      <c r="CO97" s="16">
        <v>3.7556149959186436E-2</v>
      </c>
      <c r="CP97" s="16">
        <v>6.90346568927247E-3</v>
      </c>
      <c r="CQ97" s="16">
        <v>1.7716681344168039E-2</v>
      </c>
      <c r="CR97" s="16">
        <v>1.2974500808014655E-2</v>
      </c>
      <c r="CS97" s="16">
        <v>3.4242780239545079E-3</v>
      </c>
      <c r="CT97" s="16">
        <v>2.3984700013120142E-2</v>
      </c>
      <c r="CU97" s="16">
        <v>2.7130387495559738E-3</v>
      </c>
      <c r="CV97" s="16">
        <v>2.6810589438673871E-2</v>
      </c>
      <c r="CW97" s="16">
        <v>3.0114507218422015E-2</v>
      </c>
      <c r="CX97" s="16">
        <v>8.585498558907334E-3</v>
      </c>
      <c r="CY97" s="16">
        <v>4.5849960119951905E-2</v>
      </c>
      <c r="CZ97" s="16">
        <v>3.7488006551269493E-3</v>
      </c>
      <c r="DA97" s="16">
        <v>2.3392586313434105E-2</v>
      </c>
      <c r="DB97" s="16">
        <v>2.806013956222686E-2</v>
      </c>
      <c r="DC97" s="16">
        <v>1.1659500128393452E-2</v>
      </c>
      <c r="DD97" s="16">
        <v>1.5444439758019679E-2</v>
      </c>
      <c r="DE97" s="16">
        <v>2.103096167923113E-2</v>
      </c>
      <c r="DF97" s="16">
        <v>1.4721965715626562E-2</v>
      </c>
      <c r="DG97" s="16">
        <v>3.596708849405339E-2</v>
      </c>
      <c r="DH97" s="16">
        <v>3.4320125772263954E-2</v>
      </c>
      <c r="DI97" s="16">
        <v>1.3515793874337878E-2</v>
      </c>
      <c r="DJ97" s="16">
        <v>9.3872231804275064E-3</v>
      </c>
      <c r="DK97" s="16">
        <v>1.2620117681109044E-2</v>
      </c>
      <c r="DL97" s="16">
        <v>7.0944065500159192E-3</v>
      </c>
      <c r="DM97" s="16">
        <v>8.2599274065385808E-3</v>
      </c>
      <c r="DN97" s="16">
        <v>3.0492198539160409E-3</v>
      </c>
    </row>
    <row r="98" spans="4:118" x14ac:dyDescent="0.2">
      <c r="D98" s="13">
        <v>90</v>
      </c>
      <c r="E98" s="14">
        <f>1-IFERROR(_xlfn.LOGNORM.DIST(D98,Parameter!$G$6,Parameter!$G$7,TRUE),0)</f>
        <v>1.9042153754872837E-2</v>
      </c>
      <c r="F98" s="15">
        <f t="shared" si="2"/>
        <v>5.1637882721754874E-2</v>
      </c>
      <c r="G98" s="15">
        <f t="shared" si="3"/>
        <v>2.755475074524802E-3</v>
      </c>
      <c r="R98" s="14">
        <f ca="1">1-IFERROR(_xlfn.LOGNORM.DIST($D98,Parameter!$E$6,Parameter!$E$7,TRUE),0)</f>
        <v>1.7689450667692341E-2</v>
      </c>
      <c r="S98" s="16">
        <v>6.5852121751788228E-3</v>
      </c>
      <c r="T98" s="16">
        <v>6.273741647241593E-3</v>
      </c>
      <c r="U98" s="16">
        <v>2.1793877086969116E-2</v>
      </c>
      <c r="V98" s="16">
        <v>4.5076388904556675E-2</v>
      </c>
      <c r="W98" s="16">
        <v>1.2769684174260831E-2</v>
      </c>
      <c r="X98" s="16">
        <v>9.042993420672496E-3</v>
      </c>
      <c r="Y98" s="16">
        <v>4.7087567960965027E-3</v>
      </c>
      <c r="Z98" s="16">
        <v>1.6720086262418721E-2</v>
      </c>
      <c r="AA98" s="16">
        <v>3.3141967363759295E-2</v>
      </c>
      <c r="AB98" s="16">
        <v>2.6301826645708348E-2</v>
      </c>
      <c r="AC98" s="16">
        <v>1.5857187644444215E-2</v>
      </c>
      <c r="AD98" s="16">
        <v>1.6050700776323645E-2</v>
      </c>
      <c r="AE98" s="16">
        <v>1.8005431416340922E-2</v>
      </c>
      <c r="AF98" s="16">
        <v>2.5150320187039554E-2</v>
      </c>
      <c r="AG98" s="16">
        <v>1.3458373973092796E-2</v>
      </c>
      <c r="AH98" s="16">
        <v>2.6616637621741712E-2</v>
      </c>
      <c r="AI98" s="16">
        <v>6.4805270045306118E-3</v>
      </c>
      <c r="AJ98" s="16">
        <v>5.9423228481960688E-3</v>
      </c>
      <c r="AK98" s="16">
        <v>3.2290449918410014E-2</v>
      </c>
      <c r="AL98" s="16">
        <v>1.5633733357744317E-2</v>
      </c>
      <c r="AM98" s="16">
        <v>2.8477749826963938E-3</v>
      </c>
      <c r="AN98" s="16">
        <v>4.6691337318914616E-2</v>
      </c>
      <c r="AO98" s="16">
        <v>9.4150221864178762E-3</v>
      </c>
      <c r="AP98" s="16">
        <v>2.4584404689141359E-2</v>
      </c>
      <c r="AQ98" s="16">
        <v>1.9566486510769643E-2</v>
      </c>
      <c r="AR98" s="16">
        <v>1.2374623892293046E-2</v>
      </c>
      <c r="AS98" s="16">
        <v>1.8354507784741902E-2</v>
      </c>
      <c r="AT98" s="16">
        <v>3.1551744385172165E-2</v>
      </c>
      <c r="AU98" s="16">
        <v>4.5494806110801589E-2</v>
      </c>
      <c r="AV98" s="16">
        <v>2.0236815170062705E-2</v>
      </c>
      <c r="AW98" s="16">
        <v>2.7540234825449761E-2</v>
      </c>
      <c r="AX98" s="16">
        <v>5.5401842069230378E-3</v>
      </c>
      <c r="AY98" s="16">
        <v>1.4749767796485846E-2</v>
      </c>
      <c r="AZ98" s="16">
        <v>1.6544453324099817E-2</v>
      </c>
      <c r="BA98" s="16">
        <v>2.5208794963294756E-2</v>
      </c>
      <c r="BB98" s="16">
        <v>1.1467914646125066E-2</v>
      </c>
      <c r="BC98" s="16">
        <v>2.5273853719303463E-2</v>
      </c>
      <c r="BD98" s="16">
        <v>1.4110681566339434E-2</v>
      </c>
      <c r="BE98" s="16">
        <v>2.5668947008176346E-2</v>
      </c>
      <c r="BF98" s="16">
        <v>3.8897438486258373E-3</v>
      </c>
      <c r="BG98" s="16">
        <v>2.5702769511205537E-2</v>
      </c>
      <c r="BH98" s="16">
        <v>2.556242256583019E-2</v>
      </c>
      <c r="BI98" s="16">
        <v>2.1852460902248017E-2</v>
      </c>
      <c r="BJ98" s="16">
        <v>2.6696875732105885E-2</v>
      </c>
      <c r="BK98" s="16">
        <v>1.9467034458759302E-2</v>
      </c>
      <c r="BL98" s="16">
        <v>2.9148497518098337E-2</v>
      </c>
      <c r="BM98" s="16">
        <v>2.6296587600682431E-2</v>
      </c>
      <c r="BN98" s="16">
        <v>1.2097732841352182E-2</v>
      </c>
      <c r="BO98" s="16">
        <v>2.2111949542947151E-2</v>
      </c>
      <c r="BP98" s="16">
        <v>5.6113328562420017E-2</v>
      </c>
      <c r="BQ98" s="16">
        <v>2.1502550579281854E-2</v>
      </c>
      <c r="BR98" s="16">
        <v>1.1678474486365165E-2</v>
      </c>
      <c r="BS98" s="16">
        <v>1.9543271062640533E-2</v>
      </c>
      <c r="BT98" s="16">
        <v>3.3517017733875609E-2</v>
      </c>
      <c r="BU98" s="16">
        <v>2.3185148582423043E-3</v>
      </c>
      <c r="BV98" s="16">
        <v>6.5933733045149823E-2</v>
      </c>
      <c r="BW98" s="16">
        <v>1.9328952837827429E-2</v>
      </c>
      <c r="BX98" s="16">
        <v>3.2145220014423104E-2</v>
      </c>
      <c r="BY98" s="16">
        <v>4.0647863092589831E-2</v>
      </c>
      <c r="BZ98" s="16">
        <v>1.1392752134508077E-2</v>
      </c>
      <c r="CA98" s="16">
        <v>5.5764296538218794E-4</v>
      </c>
      <c r="CB98" s="16">
        <v>5.9518958751080264E-2</v>
      </c>
      <c r="CC98" s="16">
        <v>2.0194534974168676E-2</v>
      </c>
      <c r="CD98" s="16">
        <v>3.3032426209490984E-2</v>
      </c>
      <c r="CE98" s="16">
        <v>2.4044578847413955E-2</v>
      </c>
      <c r="CF98" s="16">
        <v>1.7059549154941123E-2</v>
      </c>
      <c r="CG98" s="16">
        <v>1.8036663737045266E-2</v>
      </c>
      <c r="CH98" s="16">
        <v>3.6932839929880723E-3</v>
      </c>
      <c r="CI98" s="16">
        <v>8.3396785962802644E-3</v>
      </c>
      <c r="CJ98" s="16">
        <v>3.8317815124804255E-2</v>
      </c>
      <c r="CK98" s="16">
        <v>6.3022048282512788E-3</v>
      </c>
      <c r="CL98" s="16">
        <v>1.3454161878524551E-2</v>
      </c>
      <c r="CM98" s="16">
        <v>6.1783344547804431E-3</v>
      </c>
      <c r="CN98" s="16">
        <v>2.7057525404378113E-2</v>
      </c>
      <c r="CO98" s="16">
        <v>3.7269199477844905E-2</v>
      </c>
      <c r="CP98" s="16">
        <v>6.8165819427894458E-3</v>
      </c>
      <c r="CQ98" s="16">
        <v>1.7549273774516205E-2</v>
      </c>
      <c r="CR98" s="16">
        <v>1.2842764201074774E-2</v>
      </c>
      <c r="CS98" s="16">
        <v>3.3767994730832251E-3</v>
      </c>
      <c r="CT98" s="16">
        <v>2.3728669965546012E-2</v>
      </c>
      <c r="CU98" s="16">
        <v>2.6719656337981235E-3</v>
      </c>
      <c r="CV98" s="16">
        <v>2.6595789591831176E-2</v>
      </c>
      <c r="CW98" s="16">
        <v>2.9874005106370505E-2</v>
      </c>
      <c r="CX98" s="16">
        <v>8.4967458984007704E-3</v>
      </c>
      <c r="CY98" s="16">
        <v>4.551622643333475E-2</v>
      </c>
      <c r="CZ98" s="16">
        <v>3.6922069082185871E-3</v>
      </c>
      <c r="DA98" s="16">
        <v>2.3211589188792625E-2</v>
      </c>
      <c r="DB98" s="16">
        <v>2.7781508556498635E-2</v>
      </c>
      <c r="DC98" s="16">
        <v>1.1519921375557129E-2</v>
      </c>
      <c r="DD98" s="16">
        <v>1.5265138327002825E-2</v>
      </c>
      <c r="DE98" s="16">
        <v>2.0835998114116849E-2</v>
      </c>
      <c r="DF98" s="16">
        <v>1.4584104232679862E-2</v>
      </c>
      <c r="DG98" s="16">
        <v>3.5709333181920266E-2</v>
      </c>
      <c r="DH98" s="16">
        <v>3.4051423811755188E-2</v>
      </c>
      <c r="DI98" s="16">
        <v>1.3377083623134278E-2</v>
      </c>
      <c r="DJ98" s="16">
        <v>9.2772824452528324E-3</v>
      </c>
      <c r="DK98" s="16">
        <v>1.2496093119386487E-2</v>
      </c>
      <c r="DL98" s="16">
        <v>7.0160884448593475E-3</v>
      </c>
      <c r="DM98" s="16">
        <v>8.1632017430930404E-3</v>
      </c>
      <c r="DN98" s="16">
        <v>3.0041647224234858E-3</v>
      </c>
    </row>
    <row r="99" spans="4:118" x14ac:dyDescent="0.2">
      <c r="D99" s="13">
        <v>91</v>
      </c>
      <c r="E99" s="14">
        <f>1-IFERROR(_xlfn.LOGNORM.DIST(D99,Parameter!$G$6,Parameter!$G$7,TRUE),0)</f>
        <v>1.8866534203977214E-2</v>
      </c>
      <c r="F99" s="15">
        <f t="shared" si="2"/>
        <v>5.1310538070116943E-2</v>
      </c>
      <c r="G99" s="15">
        <f t="shared" si="3"/>
        <v>2.7134819282509078E-3</v>
      </c>
      <c r="R99" s="14">
        <f ca="1">1-IFERROR(_xlfn.LOGNORM.DIST($D99,Parameter!$E$6,Parameter!$E$7,TRUE),0)</f>
        <v>1.7515181009309044E-2</v>
      </c>
      <c r="S99" s="16">
        <v>6.5124867096848504E-3</v>
      </c>
      <c r="T99" s="16">
        <v>6.1982734551687679E-3</v>
      </c>
      <c r="U99" s="16">
        <v>2.1579107509854145E-2</v>
      </c>
      <c r="V99" s="16">
        <v>4.4756857865985711E-2</v>
      </c>
      <c r="W99" s="16">
        <v>1.2646949439024779E-2</v>
      </c>
      <c r="X99" s="16">
        <v>8.9335837265688278E-3</v>
      </c>
      <c r="Y99" s="16">
        <v>4.6483187979777796E-3</v>
      </c>
      <c r="Z99" s="16">
        <v>1.6575963958179729E-2</v>
      </c>
      <c r="AA99" s="16">
        <v>3.2889454976221311E-2</v>
      </c>
      <c r="AB99" s="16">
        <v>2.6054842139805023E-2</v>
      </c>
      <c r="AC99" s="16">
        <v>1.5702612817869332E-2</v>
      </c>
      <c r="AD99" s="16">
        <v>1.5896071066791362E-2</v>
      </c>
      <c r="AE99" s="16">
        <v>1.783784134969113E-2</v>
      </c>
      <c r="AF99" s="16">
        <v>2.4932428273095719E-2</v>
      </c>
      <c r="AG99" s="16">
        <v>1.3291267636407755E-2</v>
      </c>
      <c r="AH99" s="16">
        <v>2.6411464018205377E-2</v>
      </c>
      <c r="AI99" s="16">
        <v>6.4051550343479091E-3</v>
      </c>
      <c r="AJ99" s="16">
        <v>5.8672050424765088E-3</v>
      </c>
      <c r="AK99" s="16">
        <v>3.2064149305636946E-2</v>
      </c>
      <c r="AL99" s="16">
        <v>1.5489023953784042E-2</v>
      </c>
      <c r="AM99" s="16">
        <v>2.8036520059352421E-3</v>
      </c>
      <c r="AN99" s="16">
        <v>4.6367904049601227E-2</v>
      </c>
      <c r="AO99" s="16">
        <v>9.3123642340564583E-3</v>
      </c>
      <c r="AP99" s="16">
        <v>2.4395652915823351E-2</v>
      </c>
      <c r="AQ99" s="16">
        <v>1.9406868232779928E-2</v>
      </c>
      <c r="AR99" s="16">
        <v>1.2234940831029051E-2</v>
      </c>
      <c r="AS99" s="16">
        <v>1.818407111782161E-2</v>
      </c>
      <c r="AT99" s="16">
        <v>3.1307974843508335E-2</v>
      </c>
      <c r="AU99" s="16">
        <v>4.5176209986839355E-2</v>
      </c>
      <c r="AV99" s="16">
        <v>2.0039081931791269E-2</v>
      </c>
      <c r="AW99" s="16">
        <v>2.7338401820737879E-2</v>
      </c>
      <c r="AX99" s="16">
        <v>5.4695591398430388E-3</v>
      </c>
      <c r="AY99" s="16">
        <v>1.4586012082919542E-2</v>
      </c>
      <c r="AZ99" s="16">
        <v>1.639128060656303E-2</v>
      </c>
      <c r="BA99" s="16">
        <v>2.4960965446465533E-2</v>
      </c>
      <c r="BB99" s="16">
        <v>1.1342785259573662E-2</v>
      </c>
      <c r="BC99" s="16">
        <v>2.5034095887406793E-2</v>
      </c>
      <c r="BD99" s="16">
        <v>1.3987128688611739E-2</v>
      </c>
      <c r="BE99" s="16">
        <v>2.5451188724356366E-2</v>
      </c>
      <c r="BF99" s="16">
        <v>3.8340970081038872E-3</v>
      </c>
      <c r="BG99" s="16">
        <v>2.5458814554705111E-2</v>
      </c>
      <c r="BH99" s="16">
        <v>2.535631027491303E-2</v>
      </c>
      <c r="BI99" s="16">
        <v>2.1672220471724457E-2</v>
      </c>
      <c r="BJ99" s="16">
        <v>2.6475372613161685E-2</v>
      </c>
      <c r="BK99" s="16">
        <v>1.9301893423189553E-2</v>
      </c>
      <c r="BL99" s="16">
        <v>2.8888095528728841E-2</v>
      </c>
      <c r="BM99" s="16">
        <v>2.6077917179603838E-2</v>
      </c>
      <c r="BN99" s="16">
        <v>1.1963063570444077E-2</v>
      </c>
      <c r="BO99" s="16">
        <v>2.1923236457296991E-2</v>
      </c>
      <c r="BP99" s="16">
        <v>5.5782445041059892E-2</v>
      </c>
      <c r="BQ99" s="16">
        <v>2.1327445329692885E-2</v>
      </c>
      <c r="BR99" s="16">
        <v>1.1550921471153774E-2</v>
      </c>
      <c r="BS99" s="16">
        <v>1.9382858469548014E-2</v>
      </c>
      <c r="BT99" s="16">
        <v>3.3226314519512079E-2</v>
      </c>
      <c r="BU99" s="16">
        <v>2.281944466547281E-3</v>
      </c>
      <c r="BV99" s="16">
        <v>6.5554139702325376E-2</v>
      </c>
      <c r="BW99" s="16">
        <v>1.9148918676943127E-2</v>
      </c>
      <c r="BX99" s="16">
        <v>3.1865469069093599E-2</v>
      </c>
      <c r="BY99" s="16">
        <v>4.0369781315619302E-2</v>
      </c>
      <c r="BZ99" s="16">
        <v>1.1259296065637914E-2</v>
      </c>
      <c r="CA99" s="16">
        <v>5.4640911021142102E-4</v>
      </c>
      <c r="CB99" s="16">
        <v>5.9113441341539064E-2</v>
      </c>
      <c r="CC99" s="16">
        <v>1.9995342985932862E-2</v>
      </c>
      <c r="CD99" s="16">
        <v>3.2778326180220363E-2</v>
      </c>
      <c r="CE99" s="16">
        <v>2.384622238315115E-2</v>
      </c>
      <c r="CF99" s="16">
        <v>1.6901322702868815E-2</v>
      </c>
      <c r="CG99" s="16">
        <v>1.7860471341020645E-2</v>
      </c>
      <c r="CH99" s="16">
        <v>3.6418735900327626E-3</v>
      </c>
      <c r="CI99" s="16">
        <v>8.2570888569313272E-3</v>
      </c>
      <c r="CJ99" s="16">
        <v>3.8037895347270867E-2</v>
      </c>
      <c r="CK99" s="16">
        <v>6.2229833868768791E-3</v>
      </c>
      <c r="CL99" s="16">
        <v>1.3310268239930978E-2</v>
      </c>
      <c r="CM99" s="16">
        <v>6.1058885964848653E-3</v>
      </c>
      <c r="CN99" s="16">
        <v>2.6846154242924469E-2</v>
      </c>
      <c r="CO99" s="16">
        <v>3.6987183942924218E-2</v>
      </c>
      <c r="CP99" s="16">
        <v>6.7316096693468275E-3</v>
      </c>
      <c r="CQ99" s="16">
        <v>1.7385045958178136E-2</v>
      </c>
      <c r="CR99" s="16">
        <v>1.2713622711218453E-2</v>
      </c>
      <c r="CS99" s="16">
        <v>3.3304282973970478E-3</v>
      </c>
      <c r="CT99" s="16">
        <v>2.3477732998294365E-2</v>
      </c>
      <c r="CU99" s="16">
        <v>2.6318994770127002E-3</v>
      </c>
      <c r="CV99" s="16">
        <v>2.6384779065669495E-2</v>
      </c>
      <c r="CW99" s="16">
        <v>2.9637729563581572E-2</v>
      </c>
      <c r="CX99" s="16">
        <v>8.4097668046322349E-3</v>
      </c>
      <c r="CY99" s="16">
        <v>4.5188104329343504E-2</v>
      </c>
      <c r="CZ99" s="16">
        <v>3.6369934740324572E-3</v>
      </c>
      <c r="DA99" s="16">
        <v>2.3033752980321953E-2</v>
      </c>
      <c r="DB99" s="16">
        <v>2.7508227450231071E-2</v>
      </c>
      <c r="DC99" s="16">
        <v>1.1383314495789221E-2</v>
      </c>
      <c r="DD99" s="16">
        <v>1.5089579479130477E-2</v>
      </c>
      <c r="DE99" s="16">
        <v>2.0644695920477352E-2</v>
      </c>
      <c r="DF99" s="16">
        <v>1.4448860182362577E-2</v>
      </c>
      <c r="DG99" s="16">
        <v>3.5455916855970826E-2</v>
      </c>
      <c r="DH99" s="16">
        <v>3.3787394731778719E-2</v>
      </c>
      <c r="DI99" s="16">
        <v>1.3241116884382897E-2</v>
      </c>
      <c r="DJ99" s="16">
        <v>9.1696663204833273E-3</v>
      </c>
      <c r="DK99" s="16">
        <v>1.2374478350913876E-2</v>
      </c>
      <c r="DL99" s="16">
        <v>6.93938725310983E-3</v>
      </c>
      <c r="DM99" s="16">
        <v>8.0685250976310074E-3</v>
      </c>
      <c r="DN99" s="16">
        <v>2.960198236217626E-3</v>
      </c>
    </row>
    <row r="100" spans="4:118" x14ac:dyDescent="0.2">
      <c r="D100" s="13">
        <v>92</v>
      </c>
      <c r="E100" s="14">
        <f>1-IFERROR(_xlfn.LOGNORM.DIST(D100,Parameter!$G$6,Parameter!$G$7,TRUE),0)</f>
        <v>1.8694191366391832E-2</v>
      </c>
      <c r="F100" s="15">
        <f t="shared" si="2"/>
        <v>5.09884086640464E-2</v>
      </c>
      <c r="G100" s="15">
        <f t="shared" si="3"/>
        <v>2.6725170627202423E-3</v>
      </c>
      <c r="R100" s="14">
        <f ca="1">1-IFERROR(_xlfn.LOGNORM.DIST($D100,Parameter!$E$6,Parameter!$E$7,TRUE),0)</f>
        <v>1.7344259841212795E-2</v>
      </c>
      <c r="S100" s="16">
        <v>6.441255779357391E-3</v>
      </c>
      <c r="T100" s="16">
        <v>6.1244221165958068E-3</v>
      </c>
      <c r="U100" s="16">
        <v>2.1368447295317394E-2</v>
      </c>
      <c r="V100" s="16">
        <v>4.4442615702585786E-2</v>
      </c>
      <c r="W100" s="16">
        <v>1.252656169068167E-2</v>
      </c>
      <c r="X100" s="16">
        <v>8.8265123601077855E-3</v>
      </c>
      <c r="Y100" s="16">
        <v>4.5892231783124515E-3</v>
      </c>
      <c r="Z100" s="16">
        <v>1.6434463954924983E-2</v>
      </c>
      <c r="AA100" s="16">
        <v>3.2641264363569289E-2</v>
      </c>
      <c r="AB100" s="16">
        <v>2.58124680978572E-2</v>
      </c>
      <c r="AC100" s="16">
        <v>1.5551000677383575E-2</v>
      </c>
      <c r="AD100" s="16">
        <v>1.5744389502900913E-2</v>
      </c>
      <c r="AE100" s="16">
        <v>1.7673393574123009E-2</v>
      </c>
      <c r="AF100" s="16">
        <v>2.4718476969130099E-2</v>
      </c>
      <c r="AG100" s="16">
        <v>1.3127753667615205E-2</v>
      </c>
      <c r="AH100" s="16">
        <v>2.6209834645994246E-2</v>
      </c>
      <c r="AI100" s="16">
        <v>6.3313709186800793E-3</v>
      </c>
      <c r="AJ100" s="16">
        <v>5.7937379641931352E-3</v>
      </c>
      <c r="AK100" s="16">
        <v>3.184161166768118E-2</v>
      </c>
      <c r="AL100" s="16">
        <v>1.5347028599611234E-2</v>
      </c>
      <c r="AM100" s="16">
        <v>2.7606189175100049E-3</v>
      </c>
      <c r="AN100" s="16">
        <v>4.6049777379599366E-2</v>
      </c>
      <c r="AO100" s="16">
        <v>9.2117929613253491E-3</v>
      </c>
      <c r="AP100" s="16">
        <v>2.4210162304042382E-2</v>
      </c>
      <c r="AQ100" s="16">
        <v>1.9250084015054569E-2</v>
      </c>
      <c r="AR100" s="16">
        <v>1.209813046043906E-2</v>
      </c>
      <c r="AS100" s="16">
        <v>1.8016825790012181E-2</v>
      </c>
      <c r="AT100" s="16">
        <v>3.1068403626783092E-2</v>
      </c>
      <c r="AU100" s="16">
        <v>4.4862864172314887E-2</v>
      </c>
      <c r="AV100" s="16">
        <v>1.9845124289735061E-2</v>
      </c>
      <c r="AW100" s="16">
        <v>2.7139989691563504E-2</v>
      </c>
      <c r="AX100" s="16">
        <v>5.4004940986213112E-3</v>
      </c>
      <c r="AY100" s="16">
        <v>1.4425587491895375E-2</v>
      </c>
      <c r="AZ100" s="16">
        <v>1.624097800738844E-2</v>
      </c>
      <c r="BA100" s="16">
        <v>2.4717857211599581E-2</v>
      </c>
      <c r="BB100" s="16">
        <v>1.1220192209377866E-2</v>
      </c>
      <c r="BC100" s="16">
        <v>2.4798836885557507E-2</v>
      </c>
      <c r="BD100" s="16">
        <v>1.3865844607625522E-2</v>
      </c>
      <c r="BE100" s="16">
        <v>2.5237334394167865E-2</v>
      </c>
      <c r="BF100" s="16">
        <v>3.7797612850732909E-3</v>
      </c>
      <c r="BG100" s="16">
        <v>2.5219436372753479E-2</v>
      </c>
      <c r="BH100" s="16">
        <v>2.515382188656623E-2</v>
      </c>
      <c r="BI100" s="16">
        <v>2.1495187062057108E-2</v>
      </c>
      <c r="BJ100" s="16">
        <v>2.6257803041082828E-2</v>
      </c>
      <c r="BK100" s="16">
        <v>1.9139729831753605E-2</v>
      </c>
      <c r="BL100" s="16">
        <v>2.8632444548812197E-2</v>
      </c>
      <c r="BM100" s="16">
        <v>2.5863134663444365E-2</v>
      </c>
      <c r="BN100" s="16">
        <v>1.1831146975756268E-2</v>
      </c>
      <c r="BO100" s="16">
        <v>2.1737925383152557E-2</v>
      </c>
      <c r="BP100" s="16">
        <v>5.545669411187959E-2</v>
      </c>
      <c r="BQ100" s="16">
        <v>2.1155441445533052E-2</v>
      </c>
      <c r="BR100" s="16">
        <v>1.1425954315676279E-2</v>
      </c>
      <c r="BS100" s="16">
        <v>1.9225300870509554E-2</v>
      </c>
      <c r="BT100" s="16">
        <v>3.2940834507517391E-2</v>
      </c>
      <c r="BU100" s="16">
        <v>2.2462884894294266E-3</v>
      </c>
      <c r="BV100" s="16">
        <v>6.5180364125343893E-2</v>
      </c>
      <c r="BW100" s="16">
        <v>1.8972256434809265E-2</v>
      </c>
      <c r="BX100" s="16">
        <v>3.1590756755063731E-2</v>
      </c>
      <c r="BY100" s="16">
        <v>4.0096260347630697E-2</v>
      </c>
      <c r="BZ100" s="16">
        <v>1.1128637334176905E-2</v>
      </c>
      <c r="CA100" s="16">
        <v>5.3550423576498307E-4</v>
      </c>
      <c r="CB100" s="16">
        <v>5.8714490748570713E-2</v>
      </c>
      <c r="CC100" s="16">
        <v>1.9799970076683771E-2</v>
      </c>
      <c r="CD100" s="16">
        <v>3.2528590608452923E-2</v>
      </c>
      <c r="CE100" s="16">
        <v>2.3651388634186588E-2</v>
      </c>
      <c r="CF100" s="16">
        <v>1.6746061621376596E-2</v>
      </c>
      <c r="CG100" s="16">
        <v>1.7687650765078167E-2</v>
      </c>
      <c r="CH100" s="16">
        <v>3.5916576471155537E-3</v>
      </c>
      <c r="CI100" s="16">
        <v>8.1761092793076751E-3</v>
      </c>
      <c r="CJ100" s="16">
        <v>3.776267797557864E-2</v>
      </c>
      <c r="CK100" s="16">
        <v>6.1454965794017768E-3</v>
      </c>
      <c r="CL100" s="16">
        <v>1.3169256735291124E-2</v>
      </c>
      <c r="CM100" s="16">
        <v>6.0349759356548294E-3</v>
      </c>
      <c r="CN100" s="16">
        <v>2.6638451094647131E-2</v>
      </c>
      <c r="CO100" s="16">
        <v>3.6709968972691076E-2</v>
      </c>
      <c r="CP100" s="16">
        <v>6.6484881621353686E-3</v>
      </c>
      <c r="CQ100" s="16">
        <v>1.7223905863490541E-2</v>
      </c>
      <c r="CR100" s="16">
        <v>1.2586999463622961E-2</v>
      </c>
      <c r="CS100" s="16">
        <v>3.2851278680317009E-3</v>
      </c>
      <c r="CT100" s="16">
        <v>2.3231738449616901E-2</v>
      </c>
      <c r="CU100" s="16">
        <v>2.5928058607675997E-3</v>
      </c>
      <c r="CV100" s="16">
        <v>2.61774529016221E-2</v>
      </c>
      <c r="CW100" s="16">
        <v>2.9405563901169551E-2</v>
      </c>
      <c r="CX100" s="16">
        <v>8.3245081363528817E-3</v>
      </c>
      <c r="CY100" s="16">
        <v>4.4865443123480286E-2</v>
      </c>
      <c r="CZ100" s="16">
        <v>3.583113429336926E-3</v>
      </c>
      <c r="DA100" s="16">
        <v>2.2858990486380182E-2</v>
      </c>
      <c r="DB100" s="16">
        <v>2.7240141335093782E-2</v>
      </c>
      <c r="DC100" s="16">
        <v>1.1249587346328971E-2</v>
      </c>
      <c r="DD100" s="16">
        <v>1.4917648843285281E-2</v>
      </c>
      <c r="DE100" s="16">
        <v>2.0456949966387028E-2</v>
      </c>
      <c r="DF100" s="16">
        <v>1.4316157698848087E-2</v>
      </c>
      <c r="DG100" s="16">
        <v>3.5206722580198413E-2</v>
      </c>
      <c r="DH100" s="16">
        <v>3.3527910416621287E-2</v>
      </c>
      <c r="DI100" s="16">
        <v>1.3107812231847316E-2</v>
      </c>
      <c r="DJ100" s="16">
        <v>9.064302878420305E-3</v>
      </c>
      <c r="DK100" s="16">
        <v>1.2255202526910702E-2</v>
      </c>
      <c r="DL100" s="16">
        <v>6.864253533279685E-3</v>
      </c>
      <c r="DM100" s="16">
        <v>7.9758339323894312E-3</v>
      </c>
      <c r="DN100" s="16">
        <v>2.9172835528880059E-3</v>
      </c>
    </row>
    <row r="101" spans="4:118" x14ac:dyDescent="0.2">
      <c r="D101" s="13">
        <v>93</v>
      </c>
      <c r="E101" s="14">
        <f>1-IFERROR(_xlfn.LOGNORM.DIST(D101,Parameter!$G$6,Parameter!$G$7,TRUE),0)</f>
        <v>1.8525031847713147E-2</v>
      </c>
      <c r="F101" s="15">
        <f t="shared" si="2"/>
        <v>5.0671359011189451E-2</v>
      </c>
      <c r="G101" s="15">
        <f t="shared" si="3"/>
        <v>2.6325454953513043E-3</v>
      </c>
      <c r="R101" s="14">
        <f ca="1">1-IFERROR(_xlfn.LOGNORM.DIST($D101,Parameter!$E$6,Parameter!$E$7,TRUE),0)</f>
        <v>1.7176590092424449E-2</v>
      </c>
      <c r="S101" s="16">
        <v>6.3714739854039415E-3</v>
      </c>
      <c r="T101" s="16">
        <v>6.0521372700115261E-3</v>
      </c>
      <c r="U101" s="16">
        <v>2.1161777867366727E-2</v>
      </c>
      <c r="V101" s="16">
        <v>4.4133522226404431E-2</v>
      </c>
      <c r="W101" s="16">
        <v>1.240845286941672E-2</v>
      </c>
      <c r="X101" s="16">
        <v>8.7217068066735015E-3</v>
      </c>
      <c r="Y101" s="16">
        <v>4.5314271176951637E-3</v>
      </c>
      <c r="Z101" s="16">
        <v>1.6295512444347238E-2</v>
      </c>
      <c r="AA101" s="16">
        <v>3.2397278567162568E-2</v>
      </c>
      <c r="AB101" s="16">
        <v>2.5574573558579949E-2</v>
      </c>
      <c r="AC101" s="16">
        <v>1.54022653615562E-2</v>
      </c>
      <c r="AD101" s="16">
        <v>1.559557090499708E-2</v>
      </c>
      <c r="AE101" s="16">
        <v>1.7511998235231085E-2</v>
      </c>
      <c r="AF101" s="16">
        <v>2.4508356160007905E-2</v>
      </c>
      <c r="AG101" s="16">
        <v>1.2967720732668941E-2</v>
      </c>
      <c r="AH101" s="16">
        <v>2.6011652898727644E-2</v>
      </c>
      <c r="AI101" s="16">
        <v>6.259125704425994E-3</v>
      </c>
      <c r="AJ101" s="16">
        <v>5.7218693850099589E-3</v>
      </c>
      <c r="AK101" s="16">
        <v>3.1622736639108862E-2</v>
      </c>
      <c r="AL101" s="16">
        <v>1.5207669572580462E-2</v>
      </c>
      <c r="AM101" s="16">
        <v>2.7186384417223763E-3</v>
      </c>
      <c r="AN101" s="16">
        <v>4.5736817328291157E-2</v>
      </c>
      <c r="AO101" s="16">
        <v>9.1132455522219269E-3</v>
      </c>
      <c r="AP101" s="16">
        <v>2.4027843886533451E-2</v>
      </c>
      <c r="AQ101" s="16">
        <v>1.9096055247729282E-2</v>
      </c>
      <c r="AR101" s="16">
        <v>1.1964105927054214E-2</v>
      </c>
      <c r="AS101" s="16">
        <v>1.785268062944434E-2</v>
      </c>
      <c r="AT101" s="16">
        <v>3.0832916685254341E-2</v>
      </c>
      <c r="AU101" s="16">
        <v>4.4554629821000113E-2</v>
      </c>
      <c r="AV101" s="16">
        <v>1.9654833327846455E-2</v>
      </c>
      <c r="AW101" s="16">
        <v>2.6944906147293946E-2</v>
      </c>
      <c r="AX101" s="16">
        <v>5.3329395446147787E-3</v>
      </c>
      <c r="AY101" s="16">
        <v>1.4268394119394845E-2</v>
      </c>
      <c r="AZ101" s="16">
        <v>1.6093463418515142E-2</v>
      </c>
      <c r="BA101" s="16">
        <v>2.4479334598646929E-2</v>
      </c>
      <c r="BB101" s="16">
        <v>1.1100059394585582E-2</v>
      </c>
      <c r="BC101" s="16">
        <v>2.4567948501595827E-2</v>
      </c>
      <c r="BD101" s="16">
        <v>1.3746765053640364E-2</v>
      </c>
      <c r="BE101" s="16">
        <v>2.5027275457244036E-2</v>
      </c>
      <c r="BF101" s="16">
        <v>3.7266932479791404E-3</v>
      </c>
      <c r="BG101" s="16">
        <v>2.4984504572416966E-2</v>
      </c>
      <c r="BH101" s="16">
        <v>2.4954857658317064E-2</v>
      </c>
      <c r="BI101" s="16">
        <v>2.1321271705419975E-2</v>
      </c>
      <c r="BJ101" s="16">
        <v>2.6044058228912315E-2</v>
      </c>
      <c r="BK101" s="16">
        <v>1.8980460406045951E-2</v>
      </c>
      <c r="BL101" s="16">
        <v>2.8381411435103199E-2</v>
      </c>
      <c r="BM101" s="16">
        <v>2.565213244140041E-2</v>
      </c>
      <c r="BN101" s="16">
        <v>1.170190010704375E-2</v>
      </c>
      <c r="BO101" s="16">
        <v>2.1555921288880175E-2</v>
      </c>
      <c r="BP101" s="16">
        <v>5.5135944343335686E-2</v>
      </c>
      <c r="BQ101" s="16">
        <v>2.0986453088786217E-2</v>
      </c>
      <c r="BR101" s="16">
        <v>1.1303495439007549E-2</v>
      </c>
      <c r="BS101" s="16">
        <v>1.9070518971779249E-2</v>
      </c>
      <c r="BT101" s="16">
        <v>3.2660432767416925E-2</v>
      </c>
      <c r="BU101" s="16">
        <v>2.2115153655460906E-3</v>
      </c>
      <c r="BV101" s="16">
        <v>6.4812258506383946E-2</v>
      </c>
      <c r="BW101" s="16">
        <v>1.879886981705936E-2</v>
      </c>
      <c r="BX101" s="16">
        <v>3.1320943005201052E-2</v>
      </c>
      <c r="BY101" s="16">
        <v>3.9827179691589665E-2</v>
      </c>
      <c r="BZ101" s="16">
        <v>1.1000690358948684E-2</v>
      </c>
      <c r="CA101" s="16">
        <v>5.2491563004819497E-4</v>
      </c>
      <c r="CB101" s="16">
        <v>5.8321935476321252E-2</v>
      </c>
      <c r="CC101" s="16">
        <v>1.960830582492501E-2</v>
      </c>
      <c r="CD101" s="16">
        <v>3.2283101159125249E-2</v>
      </c>
      <c r="CE101" s="16">
        <v>2.3459980064480246E-2</v>
      </c>
      <c r="CF101" s="16">
        <v>1.6593681092725521E-2</v>
      </c>
      <c r="CG101" s="16">
        <v>1.75181044995395E-2</v>
      </c>
      <c r="CH101" s="16">
        <v>3.5425969269503588E-3</v>
      </c>
      <c r="CI101" s="16">
        <v>8.0966925053364003E-3</v>
      </c>
      <c r="CJ101" s="16">
        <v>3.7492037173388115E-2</v>
      </c>
      <c r="CK101" s="16">
        <v>6.0696896665342059E-3</v>
      </c>
      <c r="CL101" s="16">
        <v>1.3031041604142146E-2</v>
      </c>
      <c r="CM101" s="16">
        <v>5.9655490595642569E-3</v>
      </c>
      <c r="CN101" s="16">
        <v>2.6434315755666571E-2</v>
      </c>
      <c r="CO101" s="16">
        <v>3.6437425196342965E-2</v>
      </c>
      <c r="CP101" s="16">
        <v>6.5671592376491672E-3</v>
      </c>
      <c r="CQ101" s="16">
        <v>1.7065765040750969E-2</v>
      </c>
      <c r="CR101" s="16">
        <v>1.2462820625743665E-2</v>
      </c>
      <c r="CS101" s="16">
        <v>3.2408631262048626E-3</v>
      </c>
      <c r="CT101" s="16">
        <v>2.2990541588397972E-2</v>
      </c>
      <c r="CU101" s="16">
        <v>2.5546518772060489E-3</v>
      </c>
      <c r="CV101" s="16">
        <v>2.5973710105102854E-2</v>
      </c>
      <c r="CW101" s="16">
        <v>2.9177395825064956E-2</v>
      </c>
      <c r="CX101" s="16">
        <v>8.2409188753089779E-3</v>
      </c>
      <c r="CY101" s="16">
        <v>4.4548097694398159E-2</v>
      </c>
      <c r="CZ101" s="16">
        <v>3.5305218995156373E-3</v>
      </c>
      <c r="DA101" s="16">
        <v>2.2687217792992209E-2</v>
      </c>
      <c r="DB101" s="16">
        <v>2.697710131233555E-2</v>
      </c>
      <c r="DC101" s="16">
        <v>1.1118651542582958E-2</v>
      </c>
      <c r="DD101" s="16">
        <v>1.474923666052641E-2</v>
      </c>
      <c r="DE101" s="16">
        <v>2.0272659186869602E-2</v>
      </c>
      <c r="DF101" s="16">
        <v>1.4185923874855622E-2</v>
      </c>
      <c r="DG101" s="16">
        <v>3.4961637753165076E-2</v>
      </c>
      <c r="DH101" s="16">
        <v>3.3272847550824491E-2</v>
      </c>
      <c r="DI101" s="16">
        <v>1.2977091464930646E-2</v>
      </c>
      <c r="DJ101" s="16">
        <v>8.9611231250378287E-3</v>
      </c>
      <c r="DK101" s="16">
        <v>1.2138197589164124E-2</v>
      </c>
      <c r="DL101" s="16">
        <v>6.7906398474500973E-3</v>
      </c>
      <c r="DM101" s="16">
        <v>7.8850673065691268E-3</v>
      </c>
      <c r="DN101" s="16">
        <v>2.8753854350986874E-3</v>
      </c>
    </row>
    <row r="102" spans="4:118" x14ac:dyDescent="0.2">
      <c r="D102" s="13">
        <v>94</v>
      </c>
      <c r="E102" s="14">
        <f>1-IFERROR(_xlfn.LOGNORM.DIST(D102,Parameter!$G$6,Parameter!$G$7,TRUE),0)</f>
        <v>1.8358965837946162E-2</v>
      </c>
      <c r="F102" s="15">
        <f t="shared" si="2"/>
        <v>5.0359258500144763E-2</v>
      </c>
      <c r="G102" s="15">
        <f t="shared" si="3"/>
        <v>2.5935337689204419E-3</v>
      </c>
      <c r="R102" s="14">
        <f ca="1">1-IFERROR(_xlfn.LOGNORM.DIST($D102,Parameter!$E$6,Parameter!$E$7,TRUE),0)</f>
        <v>1.7012078459387237E-2</v>
      </c>
      <c r="S102" s="16">
        <v>6.3030977548708123E-3</v>
      </c>
      <c r="T102" s="16">
        <v>5.9813706139896228E-3</v>
      </c>
      <c r="U102" s="16">
        <v>2.0958985231765537E-2</v>
      </c>
      <c r="V102" s="16">
        <v>4.3829442364182736E-2</v>
      </c>
      <c r="W102" s="16">
        <v>1.22925575623829E-2</v>
      </c>
      <c r="X102" s="16">
        <v>8.6190975036226636E-3</v>
      </c>
      <c r="Y102" s="16">
        <v>4.4748895789089582E-3</v>
      </c>
      <c r="Z102" s="16">
        <v>1.6159038430355377E-2</v>
      </c>
      <c r="AA102" s="16">
        <v>3.2157384959224711E-2</v>
      </c>
      <c r="AB102" s="16">
        <v>2.5341032564480837E-2</v>
      </c>
      <c r="AC102" s="16">
        <v>1.5256324342993177E-2</v>
      </c>
      <c r="AD102" s="16">
        <v>1.5449533394312986E-2</v>
      </c>
      <c r="AE102" s="16">
        <v>1.7353568935437047E-2</v>
      </c>
      <c r="AF102" s="16">
        <v>2.4301959897079062E-2</v>
      </c>
      <c r="AG102" s="16">
        <v>1.2811062015512964E-2</v>
      </c>
      <c r="AH102" s="16">
        <v>2.581682576813904E-2</v>
      </c>
      <c r="AI102" s="16">
        <v>6.1883724269642393E-3</v>
      </c>
      <c r="AJ102" s="16">
        <v>5.6515492361473019E-3</v>
      </c>
      <c r="AK102" s="16">
        <v>3.1407427538623689E-2</v>
      </c>
      <c r="AL102" s="16">
        <v>1.5070872145357406E-2</v>
      </c>
      <c r="AM102" s="16">
        <v>2.6776749339579853E-3</v>
      </c>
      <c r="AN102" s="16">
        <v>4.5428889006184137E-2</v>
      </c>
      <c r="AO102" s="16">
        <v>9.0166616978767378E-3</v>
      </c>
      <c r="AP102" s="16">
        <v>2.3848612012897785E-2</v>
      </c>
      <c r="AQ102" s="16">
        <v>1.8944706286006641E-2</v>
      </c>
      <c r="AR102" s="16">
        <v>1.1832783848306994E-2</v>
      </c>
      <c r="AS102" s="16">
        <v>1.7691547969279076E-2</v>
      </c>
      <c r="AT102" s="16">
        <v>3.0601404203562943E-2</v>
      </c>
      <c r="AU102" s="16">
        <v>4.4251373145151929E-2</v>
      </c>
      <c r="AV102" s="16">
        <v>1.9468104340226056E-2</v>
      </c>
      <c r="AW102" s="16">
        <v>2.675306231213781E-2</v>
      </c>
      <c r="AX102" s="16">
        <v>5.2668479932397316E-3</v>
      </c>
      <c r="AY102" s="16">
        <v>1.4114336028436036E-2</v>
      </c>
      <c r="AZ102" s="16">
        <v>1.5948657893149698E-2</v>
      </c>
      <c r="BA102" s="16">
        <v>2.4245267169471951E-2</v>
      </c>
      <c r="BB102" s="16">
        <v>1.0982313741842997E-2</v>
      </c>
      <c r="BC102" s="16">
        <v>2.4341307433675019E-2</v>
      </c>
      <c r="BD102" s="16">
        <v>1.3629828217790019E-2</v>
      </c>
      <c r="BE102" s="16">
        <v>2.4820907447921869E-2</v>
      </c>
      <c r="BF102" s="16">
        <v>3.6748513216287026E-3</v>
      </c>
      <c r="BG102" s="16">
        <v>2.4753893752937683E-2</v>
      </c>
      <c r="BH102" s="16">
        <v>2.4759321586007799E-2</v>
      </c>
      <c r="BI102" s="16">
        <v>2.1150388788064634E-2</v>
      </c>
      <c r="BJ102" s="16">
        <v>2.583403347800628E-2</v>
      </c>
      <c r="BK102" s="16">
        <v>1.88240050255295E-2</v>
      </c>
      <c r="BL102" s="16">
        <v>2.813486808536203E-2</v>
      </c>
      <c r="BM102" s="16">
        <v>2.5444806949195153E-2</v>
      </c>
      <c r="BN102" s="16">
        <v>1.1575243322369255E-2</v>
      </c>
      <c r="BO102" s="16">
        <v>2.137713274084696E-2</v>
      </c>
      <c r="BP102" s="16">
        <v>5.4820068994680726E-2</v>
      </c>
      <c r="BQ102" s="16">
        <v>2.0820397653106948E-2</v>
      </c>
      <c r="BR102" s="16">
        <v>1.118347034621936E-2</v>
      </c>
      <c r="BS102" s="16">
        <v>1.8918436472960432E-2</v>
      </c>
      <c r="BT102" s="16">
        <v>3.2384969816532605E-2</v>
      </c>
      <c r="BU102" s="16">
        <v>2.1775949246649606E-3</v>
      </c>
      <c r="BV102" s="16">
        <v>6.4449680282122612E-2</v>
      </c>
      <c r="BW102" s="16">
        <v>1.8628666229204893E-2</v>
      </c>
      <c r="BX102" s="16">
        <v>3.1055893025179193E-2</v>
      </c>
      <c r="BY102" s="16">
        <v>3.9562423241695677E-2</v>
      </c>
      <c r="BZ102" s="16">
        <v>1.0875373006992817E-2</v>
      </c>
      <c r="CA102" s="16">
        <v>5.1463119174299798E-4</v>
      </c>
      <c r="CB102" s="16">
        <v>5.7935610216116373E-2</v>
      </c>
      <c r="CC102" s="16">
        <v>1.942024408365961E-2</v>
      </c>
      <c r="CD102" s="16">
        <v>3.2041743884102303E-2</v>
      </c>
      <c r="CE102" s="16">
        <v>2.3271902808555289E-2</v>
      </c>
      <c r="CF102" s="16">
        <v>1.6444099563825976E-2</v>
      </c>
      <c r="CG102" s="16">
        <v>1.7351738812864115E-2</v>
      </c>
      <c r="CH102" s="16">
        <v>3.4946538601520194E-3</v>
      </c>
      <c r="CI102" s="16">
        <v>8.0187930394350904E-3</v>
      </c>
      <c r="CJ102" s="16">
        <v>3.722585172750692E-2</v>
      </c>
      <c r="CK102" s="16">
        <v>5.9955101677247047E-3</v>
      </c>
      <c r="CL102" s="16">
        <v>1.2895540476358658E-2</v>
      </c>
      <c r="CM102" s="16">
        <v>5.8975624857483533E-3</v>
      </c>
      <c r="CN102" s="16">
        <v>2.6233651759010601E-2</v>
      </c>
      <c r="CO102" s="16">
        <v>3.6169428017239769E-2</v>
      </c>
      <c r="CP102" s="16">
        <v>6.4875671062202267E-3</v>
      </c>
      <c r="CQ102" s="16">
        <v>1.6910538447376E-2</v>
      </c>
      <c r="CR102" s="16">
        <v>1.2341015256900567E-2</v>
      </c>
      <c r="CS102" s="16">
        <v>3.1976005006549846E-3</v>
      </c>
      <c r="CT102" s="16">
        <v>2.275400332294597E-2</v>
      </c>
      <c r="CU102" s="16">
        <v>2.5174060481721883E-3</v>
      </c>
      <c r="CV102" s="16">
        <v>2.5773453456293449E-2</v>
      </c>
      <c r="CW102" s="16">
        <v>2.8953117226738878E-2</v>
      </c>
      <c r="CX102" s="16">
        <v>8.1589500204298782E-3</v>
      </c>
      <c r="CY102" s="16">
        <v>4.4235928223046228E-2</v>
      </c>
      <c r="CZ102" s="16">
        <v>3.4791759494261498E-3</v>
      </c>
      <c r="DA102" s="16">
        <v>2.2518354117022077E-2</v>
      </c>
      <c r="DB102" s="16">
        <v>2.6718964200834638E-2</v>
      </c>
      <c r="DC102" s="16">
        <v>1.0990422268284616E-2</v>
      </c>
      <c r="DD102" s="16">
        <v>1.4584237553267654E-2</v>
      </c>
      <c r="DE102" s="16">
        <v>2.0091726386362696E-2</v>
      </c>
      <c r="DF102" s="16">
        <v>1.405808861693858E-2</v>
      </c>
      <c r="DG102" s="16">
        <v>3.4720553903953233E-2</v>
      </c>
      <c r="DH102" s="16">
        <v>3.3022087391540889E-2</v>
      </c>
      <c r="DI102" s="16">
        <v>1.2848879449109063E-2</v>
      </c>
      <c r="DJ102" s="16">
        <v>8.8600608516461454E-3</v>
      </c>
      <c r="DK102" s="16">
        <v>1.2023398132502416E-2</v>
      </c>
      <c r="DL102" s="16">
        <v>6.7185006603299735E-3</v>
      </c>
      <c r="DM102" s="16">
        <v>7.7961667447626892E-3</v>
      </c>
      <c r="DN102" s="16">
        <v>2.8344701651497051E-3</v>
      </c>
    </row>
    <row r="103" spans="4:118" x14ac:dyDescent="0.2">
      <c r="D103" s="13">
        <v>95</v>
      </c>
      <c r="E103" s="14">
        <f>1-IFERROR(_xlfn.LOGNORM.DIST(D103,Parameter!$G$6,Parameter!$G$7,TRUE),0)</f>
        <v>1.8195906938834883E-2</v>
      </c>
      <c r="F103" s="15">
        <f t="shared" si="2"/>
        <v>5.0051981176163704E-2</v>
      </c>
      <c r="G103" s="15">
        <f t="shared" si="3"/>
        <v>2.5554498705117473E-3</v>
      </c>
      <c r="R103" s="14">
        <f ca="1">1-IFERROR(_xlfn.LOGNORM.DIST($D103,Parameter!$E$6,Parameter!$E$7,TRUE),0)</f>
        <v>1.685063522302277E-2</v>
      </c>
      <c r="S103" s="16">
        <v>6.2360852494022234E-3</v>
      </c>
      <c r="T103" s="16">
        <v>5.9120758029641562E-3</v>
      </c>
      <c r="U103" s="16">
        <v>2.075995975445255E-2</v>
      </c>
      <c r="V103" s="16">
        <v>4.3530245920209265E-2</v>
      </c>
      <c r="W103" s="16">
        <v>1.217881287480993E-2</v>
      </c>
      <c r="X103" s="16">
        <v>8.5186176916559608E-3</v>
      </c>
      <c r="Y103" s="16">
        <v>4.4195712155424838E-3</v>
      </c>
      <c r="Z103" s="16">
        <v>1.6024973594214953E-2</v>
      </c>
      <c r="AA103" s="16">
        <v>3.1921475039736524E-2</v>
      </c>
      <c r="AB103" s="16">
        <v>2.5111723921943607E-2</v>
      </c>
      <c r="AC103" s="16">
        <v>1.5113098266303249E-2</v>
      </c>
      <c r="AD103" s="16">
        <v>1.5306198232778567E-2</v>
      </c>
      <c r="AE103" s="16">
        <v>1.7198022567151305E-2</v>
      </c>
      <c r="AF103" s="16">
        <v>2.4099186199656564E-2</v>
      </c>
      <c r="AG103" s="16">
        <v>1.2657674991564227E-2</v>
      </c>
      <c r="AH103" s="16">
        <v>2.5625263674504239E-2</v>
      </c>
      <c r="AI103" s="16">
        <v>6.1190660100678418E-3</v>
      </c>
      <c r="AJ103" s="16">
        <v>5.582729498258554E-3</v>
      </c>
      <c r="AK103" s="16">
        <v>3.1195591197281436E-2</v>
      </c>
      <c r="AL103" s="16">
        <v>1.493656444109881E-2</v>
      </c>
      <c r="AM103" s="16">
        <v>2.6376942938027836E-3</v>
      </c>
      <c r="AN103" s="16">
        <v>4.5125862379386872E-2</v>
      </c>
      <c r="AO103" s="16">
        <v>8.9219834720898339E-3</v>
      </c>
      <c r="AP103" s="16">
        <v>2.3672384193132667E-2</v>
      </c>
      <c r="AQ103" s="16">
        <v>1.8795964309036961E-2</v>
      </c>
      <c r="AR103" s="16">
        <v>1.1704084140262361E-2</v>
      </c>
      <c r="AS103" s="16">
        <v>1.7533343478639329E-2</v>
      </c>
      <c r="AT103" s="16">
        <v>3.0373760401749328E-2</v>
      </c>
      <c r="AU103" s="16">
        <v>4.3952965181202619E-2</v>
      </c>
      <c r="AV103" s="16">
        <v>1.9284836627376567E-2</v>
      </c>
      <c r="AW103" s="16">
        <v>2.6564372564952143E-2</v>
      </c>
      <c r="AX103" s="16">
        <v>5.2021739089935792E-3</v>
      </c>
      <c r="AY103" s="16">
        <v>1.3963321053215849E-2</v>
      </c>
      <c r="AZ103" s="16">
        <v>1.5806485493058853E-2</v>
      </c>
      <c r="BA103" s="16">
        <v>2.4015529456180129E-2</v>
      </c>
      <c r="BB103" s="16">
        <v>1.0866885055545783E-2</v>
      </c>
      <c r="BC103" s="16">
        <v>2.411879505440151E-2</v>
      </c>
      <c r="BD103" s="16">
        <v>1.351497463359963E-2</v>
      </c>
      <c r="BE103" s="16">
        <v>2.4618129800575761E-2</v>
      </c>
      <c r="BF103" s="16">
        <v>3.6241956900924244E-3</v>
      </c>
      <c r="BG103" s="16">
        <v>2.4527483266019168E-2</v>
      </c>
      <c r="BH103" s="16">
        <v>2.4567121226830912E-2</v>
      </c>
      <c r="BI103" s="16">
        <v>2.0982455890806606E-2</v>
      </c>
      <c r="BJ103" s="16">
        <v>2.5627627984186496E-2</v>
      </c>
      <c r="BK103" s="16">
        <v>1.8670286576685124E-2</v>
      </c>
      <c r="BL103" s="16">
        <v>2.7892691198258546E-2</v>
      </c>
      <c r="BM103" s="16">
        <v>2.5241058477120659E-2</v>
      </c>
      <c r="BN103" s="16">
        <v>1.1451100124114322E-2</v>
      </c>
      <c r="BO103" s="16">
        <v>2.1201471731814192E-2</v>
      </c>
      <c r="BP103" s="16">
        <v>5.4508945801819086E-2</v>
      </c>
      <c r="BQ103" s="16">
        <v>2.0657195610262469E-2</v>
      </c>
      <c r="BR103" s="16">
        <v>1.1065807475669542E-2</v>
      </c>
      <c r="BS103" s="16">
        <v>1.8768979924458806E-2</v>
      </c>
      <c r="BT103" s="16">
        <v>3.2114311361969627E-2</v>
      </c>
      <c r="BU103" s="16">
        <v>2.144498313117249E-3</v>
      </c>
      <c r="BV103" s="16">
        <v>6.4092491895425319E-2</v>
      </c>
      <c r="BW103" s="16">
        <v>1.8461556598277751E-2</v>
      </c>
      <c r="BX103" s="16">
        <v>3.07954770434411E-2</v>
      </c>
      <c r="BY103" s="16">
        <v>3.9301879079820967E-2</v>
      </c>
      <c r="BZ103" s="16">
        <v>1.0752606421377098E-2</v>
      </c>
      <c r="CA103" s="16">
        <v>5.0463939515765777E-4</v>
      </c>
      <c r="CB103" s="16">
        <v>5.7555355562161181E-2</v>
      </c>
      <c r="CC103" s="16">
        <v>1.9235682773326324E-2</v>
      </c>
      <c r="CD103" s="16">
        <v>3.1804409016276902E-2</v>
      </c>
      <c r="CE103" s="16">
        <v>2.3087066497212705E-2</v>
      </c>
      <c r="CF103" s="16">
        <v>1.6297238588585228E-2</v>
      </c>
      <c r="CG103" s="16">
        <v>1.718846356841075E-2</v>
      </c>
      <c r="CH103" s="16">
        <v>3.4477924583273811E-3</v>
      </c>
      <c r="CI103" s="16">
        <v>7.9423671569819332E-3</v>
      </c>
      <c r="CJ103" s="16">
        <v>3.6964004832361286E-2</v>
      </c>
      <c r="CK103" s="16">
        <v>5.9229077461776525E-3</v>
      </c>
      <c r="CL103" s="16">
        <v>1.2762674205205493E-2</v>
      </c>
      <c r="CM103" s="16">
        <v>5.8309725646757959E-3</v>
      </c>
      <c r="CN103" s="16">
        <v>2.6036366198358807E-2</v>
      </c>
      <c r="CO103" s="16">
        <v>3.5905857389649021E-2</v>
      </c>
      <c r="CP103" s="16">
        <v>6.4096582504440391E-3</v>
      </c>
      <c r="CQ103" s="16">
        <v>1.6758144283299248E-2</v>
      </c>
      <c r="CR103" s="16">
        <v>1.2221515166765506E-2</v>
      </c>
      <c r="CS103" s="16">
        <v>3.1553078302147819E-3</v>
      </c>
      <c r="CT103" s="16">
        <v>2.2521989926890362E-2</v>
      </c>
      <c r="CU103" s="16">
        <v>2.4810382494389049E-3</v>
      </c>
      <c r="CV103" s="16">
        <v>2.5576589331820831E-2</v>
      </c>
      <c r="CW103" s="16">
        <v>2.8732623985945893E-2</v>
      </c>
      <c r="CX103" s="16">
        <v>8.0785544883212879E-3</v>
      </c>
      <c r="CY103" s="16">
        <v>4.3928799946611585E-2</v>
      </c>
      <c r="CZ103" s="16">
        <v>3.429034481111759E-3</v>
      </c>
      <c r="DA103" s="16">
        <v>2.2352321658370311E-2</v>
      </c>
      <c r="DB103" s="16">
        <v>2.6465592262155946E-2</v>
      </c>
      <c r="DC103" s="16">
        <v>1.0864818097068296E-2</v>
      </c>
      <c r="DD103" s="16">
        <v>1.4422550308225923E-2</v>
      </c>
      <c r="DE103" s="16">
        <v>1.9914058052702854E-2</v>
      </c>
      <c r="DF103" s="16">
        <v>1.3932584509266488E-2</v>
      </c>
      <c r="DG103" s="16">
        <v>3.4483366499735268E-2</v>
      </c>
      <c r="DH103" s="16">
        <v>3.2775515553919443E-2</v>
      </c>
      <c r="DI103" s="16">
        <v>1.2723103965812332E-2</v>
      </c>
      <c r="DJ103" s="16">
        <v>8.7610524954884195E-3</v>
      </c>
      <c r="DK103" s="16">
        <v>1.1910741275389158E-2</v>
      </c>
      <c r="DL103" s="16">
        <v>6.6477922443821669E-3</v>
      </c>
      <c r="DM103" s="16">
        <v>7.7090761133196128E-3</v>
      </c>
      <c r="DN103" s="16">
        <v>2.7945054649022305E-3</v>
      </c>
    </row>
    <row r="104" spans="4:118" x14ac:dyDescent="0.2">
      <c r="D104" s="13">
        <v>96</v>
      </c>
      <c r="E104" s="14">
        <f>1-IFERROR(_xlfn.LOGNORM.DIST(D104,Parameter!$G$6,Parameter!$G$7,TRUE),0)</f>
        <v>1.8035772001179895E-2</v>
      </c>
      <c r="F104" s="15">
        <f t="shared" si="2"/>
        <v>4.9749405529351004E-2</v>
      </c>
      <c r="G104" s="15">
        <f t="shared" si="3"/>
        <v>2.5182631555385054E-3</v>
      </c>
      <c r="R104" s="14">
        <f ca="1">1-IFERROR(_xlfn.LOGNORM.DIST($D104,Parameter!$E$6,Parameter!$E$7,TRUE),0)</f>
        <v>1.6692174076431199E-2</v>
      </c>
      <c r="S104" s="16">
        <v>6.1703962794368294E-3</v>
      </c>
      <c r="T104" s="16">
        <v>5.8442083492760144E-3</v>
      </c>
      <c r="U104" s="16">
        <v>2.0564595952805464E-2</v>
      </c>
      <c r="V104" s="16">
        <v>4.3235807352478561E-2</v>
      </c>
      <c r="W104" s="16">
        <v>1.2067158308636583E-2</v>
      </c>
      <c r="X104" s="16">
        <v>8.4202032750883005E-3</v>
      </c>
      <c r="Y104" s="16">
        <v>4.3654342861645379E-3</v>
      </c>
      <c r="Z104" s="16">
        <v>1.5893252167464955E-2</v>
      </c>
      <c r="AA104" s="16">
        <v>3.1689444244829224E-2</v>
      </c>
      <c r="AB104" s="16">
        <v>2.4886530975124721E-2</v>
      </c>
      <c r="AC104" s="16">
        <v>1.4972510795500993E-2</v>
      </c>
      <c r="AD104" s="16">
        <v>1.5165489672149812E-2</v>
      </c>
      <c r="AE104" s="16">
        <v>1.7045279155598836E-2</v>
      </c>
      <c r="AF104" s="16">
        <v>2.3899936867877614E-2</v>
      </c>
      <c r="AG104" s="16">
        <v>1.2507461214696813E-2</v>
      </c>
      <c r="AH104" s="16">
        <v>2.5436880306712095E-2</v>
      </c>
      <c r="AI104" s="16">
        <v>6.0511631718143111E-3</v>
      </c>
      <c r="AJ104" s="16">
        <v>5.5153640979717089E-3</v>
      </c>
      <c r="AK104" s="16">
        <v>3.0987137796393061E-2</v>
      </c>
      <c r="AL104" s="16">
        <v>1.4804677297036606E-2</v>
      </c>
      <c r="AM104" s="16">
        <v>2.5986638836076326E-3</v>
      </c>
      <c r="AN104" s="16">
        <v>4.4827612047275478E-2</v>
      </c>
      <c r="AO104" s="16">
        <v>8.8291552142408802E-3</v>
      </c>
      <c r="AP104" s="16">
        <v>2.3499080950066698E-2</v>
      </c>
      <c r="AQ104" s="16">
        <v>1.8649759186889936E-2</v>
      </c>
      <c r="AR104" s="16">
        <v>1.1577929855545066E-2</v>
      </c>
      <c r="AS104" s="16">
        <v>1.737798600333007E-2</v>
      </c>
      <c r="AT104" s="16">
        <v>3.0149883347556083E-2</v>
      </c>
      <c r="AU104" s="16">
        <v>4.3659281568587338E-2</v>
      </c>
      <c r="AV104" s="16">
        <v>1.9104933304277205E-2</v>
      </c>
      <c r="AW104" s="16">
        <v>2.6378754388128867E-2</v>
      </c>
      <c r="AX104" s="16">
        <v>5.1388736068405105E-3</v>
      </c>
      <c r="AY104" s="16">
        <v>1.3815260614793878E-2</v>
      </c>
      <c r="AZ104" s="16">
        <v>1.5666873144714044E-2</v>
      </c>
      <c r="BA104" s="16">
        <v>2.3790000723987514E-2</v>
      </c>
      <c r="BB104" s="16">
        <v>1.0753705876845543E-2</v>
      </c>
      <c r="BC104" s="16">
        <v>2.3900297188572783E-2</v>
      </c>
      <c r="BD104" s="16">
        <v>1.3402147065356806E-2</v>
      </c>
      <c r="BE104" s="16">
        <v>2.4418845666092648E-2</v>
      </c>
      <c r="BF104" s="16">
        <v>3.5746882056016949E-3</v>
      </c>
      <c r="BG104" s="16">
        <v>2.4305156989927745E-2</v>
      </c>
      <c r="BH104" s="16">
        <v>2.437816753246369E-2</v>
      </c>
      <c r="BI104" s="16">
        <v>2.0817393638647541E-2</v>
      </c>
      <c r="BJ104" s="16">
        <v>2.5424744654963916E-2</v>
      </c>
      <c r="BK104" s="16">
        <v>1.85192308108314E-2</v>
      </c>
      <c r="BL104" s="16">
        <v>2.7654762047027992E-2</v>
      </c>
      <c r="BM104" s="16">
        <v>2.5040790989048545E-2</v>
      </c>
      <c r="BN104" s="16">
        <v>1.1329397004689823E-2</v>
      </c>
      <c r="BO104" s="16">
        <v>2.102885351917827E-2</v>
      </c>
      <c r="BP104" s="16">
        <v>5.4202456775038543E-2</v>
      </c>
      <c r="BQ104" s="16">
        <v>2.0496770365365902E-2</v>
      </c>
      <c r="BR104" s="16">
        <v>1.0950438055313039E-2</v>
      </c>
      <c r="BS104" s="16">
        <v>1.8622078593108937E-2</v>
      </c>
      <c r="BT104" s="16">
        <v>3.184832805731197E-2</v>
      </c>
      <c r="BU104" s="16">
        <v>2.1121979239470123E-3</v>
      </c>
      <c r="BV104" s="16">
        <v>6.3740560570200056E-2</v>
      </c>
      <c r="BW104" s="16">
        <v>1.8297455204792534E-2</v>
      </c>
      <c r="BX104" s="16">
        <v>3.0539570075433398E-2</v>
      </c>
      <c r="BY104" s="16">
        <v>3.9045439283373118E-2</v>
      </c>
      <c r="BZ104" s="16">
        <v>1.0632314859249314E-2</v>
      </c>
      <c r="CA104" s="16">
        <v>4.9492925751248862E-4</v>
      </c>
      <c r="CB104" s="16">
        <v>5.7181017743070495E-2</v>
      </c>
      <c r="CC104" s="16">
        <v>1.9054523686755753E-2</v>
      </c>
      <c r="CD104" s="16">
        <v>3.1570990775336316E-2</v>
      </c>
      <c r="CE104" s="16">
        <v>2.2905384093213965E-2</v>
      </c>
      <c r="CF104" s="16">
        <v>1.6153022679393669E-2</v>
      </c>
      <c r="CG104" s="16">
        <v>1.702819205185091E-2</v>
      </c>
      <c r="CH104" s="16">
        <v>3.4019782325194203E-3</v>
      </c>
      <c r="CI104" s="16">
        <v>7.8673728181684055E-3</v>
      </c>
      <c r="CJ104" s="16">
        <v>3.6706383886612959E-2</v>
      </c>
      <c r="CK104" s="16">
        <v>5.851834100814135E-3</v>
      </c>
      <c r="CL104" s="16">
        <v>1.2632366710211951E-2</v>
      </c>
      <c r="CM104" s="16">
        <v>5.7657373882608054E-3</v>
      </c>
      <c r="CN104" s="16">
        <v>2.5842369561815737E-2</v>
      </c>
      <c r="CO104" s="16">
        <v>3.5646597608100516E-2</v>
      </c>
      <c r="CP104" s="16">
        <v>6.3333813109371917E-3</v>
      </c>
      <c r="CQ104" s="16">
        <v>1.6608503835912725E-2</v>
      </c>
      <c r="CR104" s="16">
        <v>1.2104254782139057E-2</v>
      </c>
      <c r="CS104" s="16">
        <v>3.1139542911514662E-3</v>
      </c>
      <c r="CT104" s="16">
        <v>2.2294372781014982E-2</v>
      </c>
      <c r="CU104" s="16">
        <v>2.445519639666438E-3</v>
      </c>
      <c r="CV104" s="16">
        <v>2.5383027536592051E-2</v>
      </c>
      <c r="CW104" s="16">
        <v>2.8515815784681542E-2</v>
      </c>
      <c r="CX104" s="16">
        <v>7.9996870196284986E-3</v>
      </c>
      <c r="CY104" s="16">
        <v>4.3626582926273416E-2</v>
      </c>
      <c r="CZ104" s="16">
        <v>3.3800581378717887E-3</v>
      </c>
      <c r="DA104" s="16">
        <v>2.2189045460590417E-2</v>
      </c>
      <c r="DB104" s="16">
        <v>2.6216852941464697E-2</v>
      </c>
      <c r="DC104" s="16">
        <v>1.0741760824665492E-2</v>
      </c>
      <c r="DD104" s="16">
        <v>1.4264077672189956E-2</v>
      </c>
      <c r="DE104" s="16">
        <v>1.9739564181850411E-2</v>
      </c>
      <c r="DF104" s="16">
        <v>1.3809346685318857E-2</v>
      </c>
      <c r="DG104" s="16">
        <v>3.4249974764184787E-2</v>
      </c>
      <c r="DH104" s="16">
        <v>3.2533021808649809E-2</v>
      </c>
      <c r="DI104" s="16">
        <v>1.2599695571099301E-2</v>
      </c>
      <c r="DJ104" s="16">
        <v>8.6640370086484841E-3</v>
      </c>
      <c r="DK104" s="16">
        <v>1.1800166538079138E-2</v>
      </c>
      <c r="DL104" s="16">
        <v>6.5784725905939645E-3</v>
      </c>
      <c r="DM104" s="16">
        <v>7.623741504096504E-3</v>
      </c>
      <c r="DN104" s="16">
        <v>2.7554604206815325E-3</v>
      </c>
    </row>
    <row r="105" spans="4:118" x14ac:dyDescent="0.2">
      <c r="D105" s="13">
        <v>97</v>
      </c>
      <c r="E105" s="14">
        <f>1-IFERROR(_xlfn.LOGNORM.DIST(D105,Parameter!$G$6,Parameter!$G$7,TRUE),0)</f>
        <v>1.7878480971468491E-2</v>
      </c>
      <c r="F105" s="15">
        <f t="shared" si="2"/>
        <v>4.9451414294550244E-2</v>
      </c>
      <c r="G105" s="15">
        <f t="shared" si="3"/>
        <v>2.4819442764705824E-3</v>
      </c>
      <c r="R105" s="14">
        <f ca="1">1-IFERROR(_xlfn.LOGNORM.DIST($D105,Parameter!$E$6,Parameter!$E$7,TRUE),0)</f>
        <v>1.6536611962516545E-2</v>
      </c>
      <c r="S105" s="16">
        <v>6.1059922234669717E-3</v>
      </c>
      <c r="T105" s="16">
        <v>5.777725531052047E-3</v>
      </c>
      <c r="U105" s="16">
        <v>2.0372792298882669E-2</v>
      </c>
      <c r="V105" s="16">
        <v>4.2946005561281919E-2</v>
      </c>
      <c r="W105" s="16">
        <v>1.1957535648153939E-2</v>
      </c>
      <c r="X105" s="16">
        <v>8.3237926904037307E-3</v>
      </c>
      <c r="Y105" s="16">
        <v>4.3124425736668082E-3</v>
      </c>
      <c r="Z105" s="16">
        <v>1.576381081208944E-2</v>
      </c>
      <c r="AA105" s="16">
        <v>3.1461191765918328E-2</v>
      </c>
      <c r="AB105" s="16">
        <v>2.4665341392734685E-2</v>
      </c>
      <c r="AC105" s="16">
        <v>1.4834488470208074E-2</v>
      </c>
      <c r="AD105" s="16">
        <v>1.5027334811826609E-2</v>
      </c>
      <c r="AE105" s="16">
        <v>1.6895261710657139E-2</v>
      </c>
      <c r="AF105" s="16">
        <v>2.3704117306181494E-2</v>
      </c>
      <c r="AG105" s="16">
        <v>1.2360326116795384E-2</v>
      </c>
      <c r="AH105" s="16">
        <v>2.5251592471338569E-2</v>
      </c>
      <c r="AI105" s="16">
        <v>5.9846223360794371E-3</v>
      </c>
      <c r="AJ105" s="16">
        <v>5.4494088106310512E-3</v>
      </c>
      <c r="AK105" s="16">
        <v>3.0781980714476465E-2</v>
      </c>
      <c r="AL105" s="16">
        <v>1.4675144135896101E-2</v>
      </c>
      <c r="AM105" s="16">
        <v>2.5605524521041811E-3</v>
      </c>
      <c r="AN105" s="16">
        <v>4.4534017032487938E-2</v>
      </c>
      <c r="AO105" s="16">
        <v>8.7381234190681001E-3</v>
      </c>
      <c r="AP105" s="16">
        <v>2.3328625680109627E-2</v>
      </c>
      <c r="AQ105" s="16">
        <v>1.8506023355072787E-2</v>
      </c>
      <c r="AR105" s="16">
        <v>1.1454247030765474E-2</v>
      </c>
      <c r="AS105" s="16">
        <v>1.7225397415686627E-2</v>
      </c>
      <c r="AT105" s="16">
        <v>2.992967477926789E-2</v>
      </c>
      <c r="AU105" s="16">
        <v>4.3370202340846098E-2</v>
      </c>
      <c r="AV105" s="16">
        <v>1.8928301119480073E-2</v>
      </c>
      <c r="AW105" s="16">
        <v>2.6196128224956317E-2</v>
      </c>
      <c r="AX105" s="16">
        <v>5.0769051595183079E-3</v>
      </c>
      <c r="AY105" s="16">
        <v>1.3670069547528807E-2</v>
      </c>
      <c r="AZ105" s="16">
        <v>1.5529750503692985E-2</v>
      </c>
      <c r="BA105" s="16">
        <v>2.3568564747656118E-2</v>
      </c>
      <c r="BB105" s="16">
        <v>1.0642711350901668E-2</v>
      </c>
      <c r="BC105" s="16">
        <v>2.3685703903600919E-2</v>
      </c>
      <c r="BD105" s="16">
        <v>1.3291290402877243E-2</v>
      </c>
      <c r="BE105" s="16">
        <v>2.4222961738744386E-2</v>
      </c>
      <c r="BF105" s="16">
        <v>3.5262923030183746E-3</v>
      </c>
      <c r="BG105" s="16">
        <v>2.4086803116483035E-2</v>
      </c>
      <c r="BH105" s="16">
        <v>2.4192374691624607E-2</v>
      </c>
      <c r="BI105" s="16">
        <v>2.065512555892357E-2</v>
      </c>
      <c r="BJ105" s="16">
        <v>2.5225289937095607E-2</v>
      </c>
      <c r="BK105" s="16">
        <v>1.837076621003475E-2</v>
      </c>
      <c r="BL105" s="16">
        <v>2.7420966265959912E-2</v>
      </c>
      <c r="BM105" s="16">
        <v>2.4843911951676567E-2</v>
      </c>
      <c r="BN105" s="16">
        <v>1.1210063301278606E-2</v>
      </c>
      <c r="BO105" s="16">
        <v>2.0859196472402863E-2</v>
      </c>
      <c r="BP105" s="16">
        <v>5.390048800784486E-2</v>
      </c>
      <c r="BQ105" s="16">
        <v>2.0339048120310288E-2</v>
      </c>
      <c r="BR105" s="16">
        <v>1.0837295967415894E-2</v>
      </c>
      <c r="BS105" s="16">
        <v>1.8477664335430188E-2</v>
      </c>
      <c r="BT105" s="16">
        <v>3.1586895273050253E-2</v>
      </c>
      <c r="BU105" s="16">
        <v>2.0806673314187618E-3</v>
      </c>
      <c r="BV105" s="16">
        <v>6.3393758098563402E-2</v>
      </c>
      <c r="BW105" s="16">
        <v>1.8136279524333609E-2</v>
      </c>
      <c r="BX105" s="16">
        <v>3.0288051701159446E-2</v>
      </c>
      <c r="BY105" s="16">
        <v>3.8792999743831325E-2</v>
      </c>
      <c r="BZ105" s="16">
        <v>1.0514425539424388E-2</v>
      </c>
      <c r="CA105" s="16">
        <v>4.8549030838518359E-4</v>
      </c>
      <c r="CB105" s="16">
        <v>5.6812448368198432E-2</v>
      </c>
      <c r="CC105" s="16">
        <v>1.8876672305336406E-2</v>
      </c>
      <c r="CD105" s="16">
        <v>3.1341387184421365E-2</v>
      </c>
      <c r="CE105" s="16">
        <v>2.2726771736265694E-2</v>
      </c>
      <c r="CF105" s="16">
        <v>1.6011379167131801E-2</v>
      </c>
      <c r="CG105" s="16">
        <v>1.6870840808514531E-2</v>
      </c>
      <c r="CH105" s="16">
        <v>3.3571781166257253E-3</v>
      </c>
      <c r="CI105" s="16">
        <v>7.7937695868698365E-3</v>
      </c>
      <c r="CJ105" s="16">
        <v>3.6452880301123591E-2</v>
      </c>
      <c r="CK105" s="16">
        <v>5.7822428646975288E-3</v>
      </c>
      <c r="CL105" s="16">
        <v>1.2504544829198272E-2</v>
      </c>
      <c r="CM105" s="16">
        <v>5.7018167038113132E-3</v>
      </c>
      <c r="CN105" s="16">
        <v>2.5651575575045271E-2</v>
      </c>
      <c r="CO105" s="16">
        <v>3.5391537108519389E-2</v>
      </c>
      <c r="CP105" s="16">
        <v>6.2586869789175159E-3</v>
      </c>
      <c r="CQ105" s="16">
        <v>1.6461541333905649E-2</v>
      </c>
      <c r="CR105" s="16">
        <v>1.1989171021451583E-2</v>
      </c>
      <c r="CS105" s="16">
        <v>3.0735103289344368E-3</v>
      </c>
      <c r="CT105" s="16">
        <v>2.2071028129954318E-2</v>
      </c>
      <c r="CU105" s="16">
        <v>2.4108225937544692E-3</v>
      </c>
      <c r="CV105" s="16">
        <v>2.5192681145112084E-2</v>
      </c>
      <c r="CW105" s="16">
        <v>2.8302595931606667E-2</v>
      </c>
      <c r="CX105" s="16">
        <v>7.9223040908665832E-3</v>
      </c>
      <c r="CY105" s="16">
        <v>4.3329151827861678E-2</v>
      </c>
      <c r="CZ105" s="16">
        <v>3.3322092142371584E-3</v>
      </c>
      <c r="DA105" s="16">
        <v>2.2028453279363536E-2</v>
      </c>
      <c r="DB105" s="16">
        <v>2.5972618623229637E-2</v>
      </c>
      <c r="DC105" s="16">
        <v>1.0621175310990272E-2</v>
      </c>
      <c r="DD105" s="16">
        <v>1.4108726159729135E-2</v>
      </c>
      <c r="DE105" s="16">
        <v>1.9568158112631129E-2</v>
      </c>
      <c r="DF105" s="16">
        <v>1.3688312706958139E-2</v>
      </c>
      <c r="DG105" s="16">
        <v>3.402028150601577E-2</v>
      </c>
      <c r="DH105" s="16">
        <v>3.2294499890859196E-2</v>
      </c>
      <c r="DI105" s="16">
        <v>1.2478587462529944E-2</v>
      </c>
      <c r="DJ105" s="16">
        <v>8.5689557346942946E-3</v>
      </c>
      <c r="DK105" s="16">
        <v>1.1691615727823068E-2</v>
      </c>
      <c r="DL105" s="16">
        <v>6.5105013245020382E-3</v>
      </c>
      <c r="DM105" s="16">
        <v>7.5401111250792408E-3</v>
      </c>
      <c r="DN105" s="16">
        <v>2.7173054128007967E-3</v>
      </c>
    </row>
    <row r="106" spans="4:118" x14ac:dyDescent="0.2">
      <c r="D106" s="13">
        <v>98</v>
      </c>
      <c r="E106" s="14">
        <f>1-IFERROR(_xlfn.LOGNORM.DIST(D106,Parameter!$G$6,Parameter!$G$7,TRUE),0)</f>
        <v>1.7723956747199288E-2</v>
      </c>
      <c r="F106" s="15">
        <f t="shared" si="2"/>
        <v>4.9157894262156811E-2</v>
      </c>
      <c r="G106" s="15">
        <f t="shared" si="3"/>
        <v>2.4464651159342931E-3</v>
      </c>
      <c r="R106" s="14">
        <f ca="1">1-IFERROR(_xlfn.LOGNORM.DIST($D106,Parameter!$E$6,Parameter!$E$7,TRUE),0)</f>
        <v>1.6383868920871514E-2</v>
      </c>
      <c r="S106" s="16">
        <v>6.0428359520128261E-3</v>
      </c>
      <c r="T106" s="16">
        <v>5.7125863055170756E-3</v>
      </c>
      <c r="U106" s="16">
        <v>2.0184451033844031E-2</v>
      </c>
      <c r="V106" s="16">
        <v>4.266072368942031E-2</v>
      </c>
      <c r="W106" s="16">
        <v>1.1849888852189072E-2</v>
      </c>
      <c r="X106" s="16">
        <v>8.2293267825249705E-3</v>
      </c>
      <c r="Y106" s="16">
        <v>4.2605613094132133E-3</v>
      </c>
      <c r="Z106" s="16">
        <v>1.563658850745997E-2</v>
      </c>
      <c r="AA106" s="16">
        <v>3.1236620378872093E-2</v>
      </c>
      <c r="AB106" s="16">
        <v>2.4448046966849102E-2</v>
      </c>
      <c r="AC106" s="16">
        <v>1.4698960570063035E-2</v>
      </c>
      <c r="AD106" s="16">
        <v>1.4891663464777438E-2</v>
      </c>
      <c r="AE106" s="16">
        <v>1.6747896087105474E-2</v>
      </c>
      <c r="AF106" s="16">
        <v>2.35116363567065E-2</v>
      </c>
      <c r="AG106" s="16">
        <v>1.2216178819021484E-2</v>
      </c>
      <c r="AH106" s="16">
        <v>2.5069319950128843E-2</v>
      </c>
      <c r="AI106" s="16">
        <v>5.9194035492278196E-3</v>
      </c>
      <c r="AJ106" s="16">
        <v>5.3848211688083403E-3</v>
      </c>
      <c r="AK106" s="16">
        <v>3.0580036382666598E-2</v>
      </c>
      <c r="AL106" s="16">
        <v>1.4547900844626538E-2</v>
      </c>
      <c r="AM106" s="16">
        <v>2.5233300627166555E-3</v>
      </c>
      <c r="AN106" s="16">
        <v>4.424496058244265E-2</v>
      </c>
      <c r="AO106" s="16">
        <v>8.6488366328474342E-3</v>
      </c>
      <c r="AP106" s="16">
        <v>2.3160944521767979E-2</v>
      </c>
      <c r="AQ106" s="16">
        <v>1.8364691696098334E-2</v>
      </c>
      <c r="AR106" s="16">
        <v>1.1332964542796198E-2</v>
      </c>
      <c r="AS106" s="16">
        <v>1.7075502472944315E-2</v>
      </c>
      <c r="AT106" s="16">
        <v>2.9713039938398134E-2</v>
      </c>
      <c r="AU106" s="16">
        <v>4.3085611728201023E-2</v>
      </c>
      <c r="AV106" s="16">
        <v>1.8754850284492308E-2</v>
      </c>
      <c r="AW106" s="16">
        <v>2.6016417344902898E-2</v>
      </c>
      <c r="AX106" s="16">
        <v>5.0162283103551975E-3</v>
      </c>
      <c r="AY106" s="16">
        <v>1.3527665935538336E-2</v>
      </c>
      <c r="AZ106" s="16">
        <v>1.53950498267863E-2</v>
      </c>
      <c r="BA106" s="16">
        <v>2.3351109600592168E-2</v>
      </c>
      <c r="BB106" s="16">
        <v>1.0533839101822262E-2</v>
      </c>
      <c r="BC106" s="16">
        <v>2.347490931177687E-2</v>
      </c>
      <c r="BD106" s="16">
        <v>1.3182351562236128E-2</v>
      </c>
      <c r="BE106" s="16">
        <v>2.4030388092769139E-2</v>
      </c>
      <c r="BF106" s="16">
        <v>3.4789729194830699E-3</v>
      </c>
      <c r="BG106" s="16">
        <v>2.3872313950079382E-2</v>
      </c>
      <c r="BH106" s="16">
        <v>2.4009659981433784E-2</v>
      </c>
      <c r="BI106" s="16">
        <v>2.0495577947414523E-2</v>
      </c>
      <c r="BJ106" s="16">
        <v>2.5029173653793424E-2</v>
      </c>
      <c r="BK106" s="16">
        <v>1.8224823860571449E-2</v>
      </c>
      <c r="BL106" s="16">
        <v>2.7191193648871015E-2</v>
      </c>
      <c r="BM106" s="16">
        <v>2.4650332173335898E-2</v>
      </c>
      <c r="BN106" s="16">
        <v>1.1093031058999614E-2</v>
      </c>
      <c r="BO106" s="16">
        <v>2.0692421929030536E-2</v>
      </c>
      <c r="BP106" s="16">
        <v>5.360292949618406E-2</v>
      </c>
      <c r="BQ106" s="16">
        <v>2.0183957744864922E-2</v>
      </c>
      <c r="BR106" s="16">
        <v>1.0726317621102543E-2</v>
      </c>
      <c r="BS106" s="16">
        <v>1.833567147800419E-2</v>
      </c>
      <c r="BT106" s="16">
        <v>3.1329892879835231E-2</v>
      </c>
      <c r="BU106" s="16">
        <v>2.0498812295685065E-3</v>
      </c>
      <c r="BV106" s="16">
        <v>6.3051960639526339E-2</v>
      </c>
      <c r="BW106" s="16">
        <v>1.7977950078126081E-2</v>
      </c>
      <c r="BX106" s="16">
        <v>3.0040805855175878E-2</v>
      </c>
      <c r="BY106" s="16">
        <v>3.8544459995262015E-2</v>
      </c>
      <c r="BZ106" s="16">
        <v>1.0398868498856628E-2</v>
      </c>
      <c r="CA106" s="16">
        <v>4.7631256115410192E-4</v>
      </c>
      <c r="CB106" s="16">
        <v>5.6449504187809252E-2</v>
      </c>
      <c r="CC106" s="16">
        <v>1.8702037625640822E-2</v>
      </c>
      <c r="CD106" s="16">
        <v>3.1115499896965382E-2</v>
      </c>
      <c r="CE106" s="16">
        <v>2.2551148596693049E-2</v>
      </c>
      <c r="CF106" s="16">
        <v>1.5872238069127964E-2</v>
      </c>
      <c r="CG106" s="16">
        <v>1.6716329490000792E-2</v>
      </c>
      <c r="CH106" s="16">
        <v>3.3133603954403901E-3</v>
      </c>
      <c r="CI106" s="16">
        <v>7.7215185541913423E-3</v>
      </c>
      <c r="CJ106" s="16">
        <v>3.6203389317523649E-2</v>
      </c>
      <c r="CK106" s="16">
        <v>5.7140895094786037E-3</v>
      </c>
      <c r="CL106" s="16">
        <v>1.2379138178834737E-2</v>
      </c>
      <c r="CM106" s="16">
        <v>5.6391718330375262E-3</v>
      </c>
      <c r="CN106" s="16">
        <v>2.5463901053152105E-2</v>
      </c>
      <c r="CO106" s="16">
        <v>3.514056828036749E-2</v>
      </c>
      <c r="CP106" s="16">
        <v>6.1855278951356008E-3</v>
      </c>
      <c r="CQ106" s="16">
        <v>1.6317183809407387E-2</v>
      </c>
      <c r="CR106" s="16">
        <v>1.1876203176469091E-2</v>
      </c>
      <c r="CS106" s="16">
        <v>3.0339475941209004E-3</v>
      </c>
      <c r="CT106" s="16">
        <v>2.1851836852754492E-2</v>
      </c>
      <c r="CU106" s="16">
        <v>2.3769206402740606E-3</v>
      </c>
      <c r="CV106" s="16">
        <v>2.5005466351659122E-2</v>
      </c>
      <c r="CW106" s="16">
        <v>2.8092871196252478E-2</v>
      </c>
      <c r="CX106" s="16">
        <v>7.8463638313482909E-3</v>
      </c>
      <c r="CY106" s="16">
        <v>4.3036385714583458E-2</v>
      </c>
      <c r="CZ106" s="16">
        <v>3.2854515714308974E-3</v>
      </c>
      <c r="DA106" s="16">
        <v>2.1870475458313332E-2</v>
      </c>
      <c r="DB106" s="16">
        <v>2.5732766400735296E-2</v>
      </c>
      <c r="DC106" s="16">
        <v>1.0502989331438117E-2</v>
      </c>
      <c r="DD106" s="16">
        <v>1.3956405872036393E-2</v>
      </c>
      <c r="DE106" s="16">
        <v>1.9399756370827026E-2</v>
      </c>
      <c r="DF106" s="16">
        <v>1.3569422450385948E-2</v>
      </c>
      <c r="DG106" s="16">
        <v>3.37941929569886E-2</v>
      </c>
      <c r="DH106" s="16">
        <v>3.2059847319618973E-2</v>
      </c>
      <c r="DI106" s="16">
        <v>1.2359715353682299E-2</v>
      </c>
      <c r="DJ106" s="16">
        <v>8.4757522925290596E-3</v>
      </c>
      <c r="DK106" s="16">
        <v>1.1585032830646269E-2</v>
      </c>
      <c r="DL106" s="16">
        <v>6.4438396271142562E-3</v>
      </c>
      <c r="DM106" s="16">
        <v>7.4581351974091215E-3</v>
      </c>
      <c r="DN106" s="16">
        <v>2.6800120493795099E-3</v>
      </c>
    </row>
    <row r="107" spans="4:118" x14ac:dyDescent="0.2">
      <c r="D107" s="13">
        <v>99</v>
      </c>
      <c r="E107" s="14">
        <f>1-IFERROR(_xlfn.LOGNORM.DIST(D107,Parameter!$G$6,Parameter!$G$7,TRUE),0)</f>
        <v>1.7572125040324682E-2</v>
      </c>
      <c r="F107" s="15">
        <f t="shared" si="2"/>
        <v>4.8868736099160343E-2</v>
      </c>
      <c r="G107" s="15">
        <f t="shared" si="3"/>
        <v>2.411798723874961E-3</v>
      </c>
      <c r="R107" s="14">
        <f ca="1">1-IFERROR(_xlfn.LOGNORM.DIST($D107,Parameter!$E$6,Parameter!$E$7,TRUE),0)</f>
        <v>1.6233867943307168E-2</v>
      </c>
      <c r="S107" s="16">
        <v>5.9808917559941444E-3</v>
      </c>
      <c r="T107" s="16">
        <v>5.6487512273674101E-3</v>
      </c>
      <c r="U107" s="16">
        <v>1.9999477992811876E-2</v>
      </c>
      <c r="V107" s="16">
        <v>4.2379848933292719E-2</v>
      </c>
      <c r="W107" s="16">
        <v>1.1744163952395303E-2</v>
      </c>
      <c r="X107" s="16">
        <v>8.1367486882744089E-3</v>
      </c>
      <c r="Y107" s="16">
        <v>4.2097571018676616E-3</v>
      </c>
      <c r="Z107" s="16">
        <v>1.5511526443603763E-2</v>
      </c>
      <c r="AA107" s="16">
        <v>3.1015636282567205E-2</v>
      </c>
      <c r="AB107" s="16">
        <v>2.4234543422960053E-2</v>
      </c>
      <c r="AC107" s="16">
        <v>1.456585898679319E-2</v>
      </c>
      <c r="AD107" s="16">
        <v>1.4758408031033343E-2</v>
      </c>
      <c r="AE107" s="16">
        <v>1.660311085272892E-2</v>
      </c>
      <c r="AF107" s="16">
        <v>2.3322406141952357E-2</v>
      </c>
      <c r="AG107" s="16">
        <v>1.2074931953999002E-2</v>
      </c>
      <c r="AH107" s="16">
        <v>2.4889985365344147E-2</v>
      </c>
      <c r="AI107" s="16">
        <v>5.8554684016483005E-3</v>
      </c>
      <c r="AJ107" s="16">
        <v>5.3215603761891384E-3</v>
      </c>
      <c r="AK107" s="16">
        <v>3.0381224148035457E-2</v>
      </c>
      <c r="AL107" s="16">
        <v>1.4422885659959528E-2</v>
      </c>
      <c r="AM107" s="16">
        <v>2.4869680262348259E-3</v>
      </c>
      <c r="AN107" s="16">
        <v>4.3960329981644342E-2</v>
      </c>
      <c r="AO107" s="16">
        <v>8.5612453555422574E-3</v>
      </c>
      <c r="AP107" s="16">
        <v>2.2995966231422416E-2</v>
      </c>
      <c r="AQ107" s="16">
        <v>1.8225701427639129E-2</v>
      </c>
      <c r="AR107" s="16">
        <v>1.1214013973305681E-2</v>
      </c>
      <c r="AS107" s="16">
        <v>1.6928228683562807E-2</v>
      </c>
      <c r="AT107" s="16">
        <v>2.9499887411581605E-2</v>
      </c>
      <c r="AU107" s="16">
        <v>4.2805397970873793E-2</v>
      </c>
      <c r="AV107" s="16">
        <v>1.8584494312764099E-2</v>
      </c>
      <c r="AW107" s="16">
        <v>2.5839547716305478E-2</v>
      </c>
      <c r="AX107" s="16">
        <v>4.9568043912171511E-3</v>
      </c>
      <c r="AY107" s="16">
        <v>1.338797095851374E-2</v>
      </c>
      <c r="AZ107" s="16">
        <v>1.5262705851297742E-2</v>
      </c>
      <c r="BA107" s="16">
        <v>2.3137527455772688E-2</v>
      </c>
      <c r="BB107" s="16">
        <v>1.0427029114775888E-2</v>
      </c>
      <c r="BC107" s="16">
        <v>2.3267811383598236E-2</v>
      </c>
      <c r="BD107" s="16">
        <v>1.3075279392073424E-2</v>
      </c>
      <c r="BE107" s="16">
        <v>2.3841038028027617E-2</v>
      </c>
      <c r="BF107" s="16">
        <v>3.4326964188816644E-3</v>
      </c>
      <c r="BG107" s="16">
        <v>2.3661585717949407E-2</v>
      </c>
      <c r="BH107" s="16">
        <v>2.3829943627001526E-2</v>
      </c>
      <c r="BI107" s="16">
        <v>2.0338679741894072E-2</v>
      </c>
      <c r="BJ107" s="16">
        <v>2.4836308850954003E-2</v>
      </c>
      <c r="BK107" s="16">
        <v>1.80813373334473E-2</v>
      </c>
      <c r="BL107" s="16">
        <v>2.6965337958779423E-2</v>
      </c>
      <c r="BM107" s="16">
        <v>2.4459965651734694E-2</v>
      </c>
      <c r="BN107" s="16">
        <v>1.0978234901924511E-2</v>
      </c>
      <c r="BO107" s="16">
        <v>2.0528454058713619E-2</v>
      </c>
      <c r="BP107" s="16">
        <v>5.3309674967389253E-2</v>
      </c>
      <c r="BQ107" s="16">
        <v>2.0031430654928517E-2</v>
      </c>
      <c r="BR107" s="16">
        <v>1.0617441832209251E-2</v>
      </c>
      <c r="BS107" s="16">
        <v>1.8196036704507978E-2</v>
      </c>
      <c r="BT107" s="16">
        <v>3.1077205043724021E-2</v>
      </c>
      <c r="BU107" s="16">
        <v>2.0198153745150105E-3</v>
      </c>
      <c r="BV107" s="16">
        <v>6.2715048528468431E-2</v>
      </c>
      <c r="BW107" s="16">
        <v>1.7822390291995061E-2</v>
      </c>
      <c r="BX107" s="16">
        <v>2.9797720628218616E-2</v>
      </c>
      <c r="BY107" s="16">
        <v>3.8299723052169998E-2</v>
      </c>
      <c r="BZ107" s="16">
        <v>1.0285576457396695E-2</v>
      </c>
      <c r="CA107" s="16">
        <v>4.6738648628996682E-4</v>
      </c>
      <c r="CB107" s="16">
        <v>5.6092046866205059E-2</v>
      </c>
      <c r="CC107" s="16">
        <v>1.8530531995819222E-2</v>
      </c>
      <c r="CD107" s="16">
        <v>3.0893234033051775E-2</v>
      </c>
      <c r="CE107" s="16">
        <v>2.2378436737231611E-2</v>
      </c>
      <c r="CF107" s="16">
        <v>1.5735531964542693E-2</v>
      </c>
      <c r="CG107" s="16">
        <v>1.6564580709442778E-2</v>
      </c>
      <c r="CH107" s="16">
        <v>3.2704946369985777E-3</v>
      </c>
      <c r="CI107" s="16">
        <v>7.6505822663770484E-3</v>
      </c>
      <c r="CJ107" s="16">
        <v>3.5957809836700938E-2</v>
      </c>
      <c r="CK107" s="16">
        <v>5.6473312554449207E-3</v>
      </c>
      <c r="CL107" s="16">
        <v>1.2256079023162392E-2</v>
      </c>
      <c r="CM107" s="16">
        <v>5.5777655957778283E-3</v>
      </c>
      <c r="CN107" s="16">
        <v>2.5279265760737468E-2</v>
      </c>
      <c r="CO107" s="16">
        <v>3.489358728907821E-2</v>
      </c>
      <c r="CP107" s="16">
        <v>6.1138585547232394E-3</v>
      </c>
      <c r="CQ107" s="16">
        <v>1.6175360967885077E-2</v>
      </c>
      <c r="CR107" s="16">
        <v>1.1765292800721805E-2</v>
      </c>
      <c r="CS107" s="16">
        <v>2.9952388820724263E-3</v>
      </c>
      <c r="CT107" s="16">
        <v>2.1636684246385318E-2</v>
      </c>
      <c r="CU107" s="16">
        <v>2.3437884026922262E-3</v>
      </c>
      <c r="CV107" s="16">
        <v>2.4821302328740025E-2</v>
      </c>
      <c r="CW107" s="16">
        <v>2.7886551652370195E-2</v>
      </c>
      <c r="CX107" s="16">
        <v>7.7718259448655846E-3</v>
      </c>
      <c r="CY107" s="16">
        <v>4.2748167851036634E-2</v>
      </c>
      <c r="CZ107" s="16">
        <v>3.2397505579319086E-3</v>
      </c>
      <c r="DA107" s="16">
        <v>2.171504481168407E-2</v>
      </c>
      <c r="DB107" s="16">
        <v>2.5497177858494036E-2</v>
      </c>
      <c r="DC107" s="16">
        <v>1.0387133436778551E-2</v>
      </c>
      <c r="DD107" s="16">
        <v>1.3807030326155045E-2</v>
      </c>
      <c r="DE107" s="16">
        <v>1.9234278522002435E-2</v>
      </c>
      <c r="DF107" s="16">
        <v>1.3452617998527705E-2</v>
      </c>
      <c r="DG107" s="16">
        <v>3.3571618618770338E-2</v>
      </c>
      <c r="DH107" s="16">
        <v>3.1828965227370998E-2</v>
      </c>
      <c r="DI107" s="16">
        <v>1.2243017355804242E-2</v>
      </c>
      <c r="DJ107" s="16">
        <v>8.3843724669629971E-3</v>
      </c>
      <c r="DK107" s="16">
        <v>1.1480363909264324E-2</v>
      </c>
      <c r="DL107" s="16">
        <v>6.3784501603961763E-3</v>
      </c>
      <c r="DM107" s="16">
        <v>7.3777658583754624E-3</v>
      </c>
      <c r="DN107" s="16">
        <v>2.6435531041548721E-3</v>
      </c>
    </row>
    <row r="108" spans="4:118" x14ac:dyDescent="0.2">
      <c r="D108" s="13">
        <v>100</v>
      </c>
      <c r="E108" s="14">
        <f>1-IFERROR(_xlfn.LOGNORM.DIST(D108,Parameter!$G$6,Parameter!$G$7,TRUE),0)</f>
        <v>1.7422914248282684E-2</v>
      </c>
      <c r="F108" s="15">
        <f t="shared" si="2"/>
        <v>4.8583834179766042E-2</v>
      </c>
      <c r="G108" s="15">
        <f t="shared" si="3"/>
        <v>2.377919258499886E-3</v>
      </c>
      <c r="R108" s="14">
        <f ca="1">1-IFERROR(_xlfn.LOGNORM.DIST($D108,Parameter!$E$6,Parameter!$E$7,TRUE),0)</f>
        <v>1.6086534837461586E-2</v>
      </c>
      <c r="S108" s="16">
        <v>5.920125279203492E-3</v>
      </c>
      <c r="T108" s="16">
        <v>5.5861823718627024E-3</v>
      </c>
      <c r="U108" s="16">
        <v>1.9817782439487286E-2</v>
      </c>
      <c r="V108" s="16">
        <v>4.2103272364165445E-2</v>
      </c>
      <c r="W108" s="16">
        <v>1.1640308957243883E-2</v>
      </c>
      <c r="X108" s="16">
        <v>8.0460037265429607E-3</v>
      </c>
      <c r="Y108" s="16">
        <v>4.1599978693924733E-3</v>
      </c>
      <c r="Z108" s="16">
        <v>1.5388567920384566E-2</v>
      </c>
      <c r="AA108" s="16">
        <v>3.0798148946224124E-2</v>
      </c>
      <c r="AB108" s="16">
        <v>2.4024730240535641E-2</v>
      </c>
      <c r="AC108" s="16">
        <v>1.4435118103447442E-2</v>
      </c>
      <c r="AD108" s="16">
        <v>1.4627503378253359E-2</v>
      </c>
      <c r="AE108" s="16">
        <v>1.6460837163762454E-2</v>
      </c>
      <c r="AF108" s="16">
        <v>2.3136341916109027E-2</v>
      </c>
      <c r="AG108" s="16">
        <v>1.1936501498189478E-2</v>
      </c>
      <c r="AH108" s="16">
        <v>2.4713514052462582E-2</v>
      </c>
      <c r="AI108" s="16">
        <v>5.7927799538084468E-3</v>
      </c>
      <c r="AJ108" s="16">
        <v>5.2595872264683541E-3</v>
      </c>
      <c r="AK108" s="16">
        <v>3.018546614431683E-2</v>
      </c>
      <c r="AL108" s="16">
        <v>1.4300039060346492E-2</v>
      </c>
      <c r="AM108" s="16">
        <v>2.4514388375450613E-3</v>
      </c>
      <c r="AN108" s="16">
        <v>4.3680016374086472E-2</v>
      </c>
      <c r="AO108" s="16">
        <v>8.4753019485231951E-3</v>
      </c>
      <c r="AP108" s="16">
        <v>2.2833622065895787E-2</v>
      </c>
      <c r="AQ108" s="16">
        <v>1.8088991996839887E-2</v>
      </c>
      <c r="AR108" s="16">
        <v>1.1097329480999063E-2</v>
      </c>
      <c r="AS108" s="16">
        <v>1.6783506180988672E-2</v>
      </c>
      <c r="AT108" s="16">
        <v>2.9290128981081964E-2</v>
      </c>
      <c r="AU108" s="16">
        <v>4.2529453142455376E-2</v>
      </c>
      <c r="AV108" s="16">
        <v>1.8417149867652305E-2</v>
      </c>
      <c r="AW108" s="16">
        <v>2.5665447885989456E-2</v>
      </c>
      <c r="AX108" s="16">
        <v>4.8985962452380294E-3</v>
      </c>
      <c r="AY108" s="16">
        <v>1.3250908746265777E-2</v>
      </c>
      <c r="AZ108" s="16">
        <v>1.5132655681068141E-2</v>
      </c>
      <c r="BA108" s="16">
        <v>2.2927714397726673E-2</v>
      </c>
      <c r="BB108" s="16">
        <v>1.0322223624795956E-2</v>
      </c>
      <c r="BC108" s="16">
        <v>2.3064311771439305E-2</v>
      </c>
      <c r="BD108" s="16">
        <v>1.2970024585105322E-2</v>
      </c>
      <c r="BE108" s="16">
        <v>2.3654827924145416E-2</v>
      </c>
      <c r="BF108" s="16">
        <v>3.3874305207969302E-3</v>
      </c>
      <c r="BG108" s="16">
        <v>2.3454518390935486E-2</v>
      </c>
      <c r="BH108" s="16">
        <v>2.3653148668711821E-2</v>
      </c>
      <c r="BI108" s="16">
        <v>2.0184362402636769E-2</v>
      </c>
      <c r="BJ108" s="16">
        <v>2.4646611651825245E-2</v>
      </c>
      <c r="BK108" s="16">
        <v>1.7940242571514498E-2</v>
      </c>
      <c r="BL108" s="16">
        <v>2.6743296748052203E-2</v>
      </c>
      <c r="BM108" s="16">
        <v>2.4272729430058981E-2</v>
      </c>
      <c r="BN108" s="16">
        <v>1.0865611911427098E-2</v>
      </c>
      <c r="BO108" s="16">
        <v>2.0367219734740982E-2</v>
      </c>
      <c r="BP108" s="16">
        <v>5.3020621718238181E-2</v>
      </c>
      <c r="BQ108" s="16">
        <v>1.9881400697477569E-2</v>
      </c>
      <c r="BR108" s="16">
        <v>1.0510609709959762E-2</v>
      </c>
      <c r="BS108" s="16">
        <v>1.8058698948971164E-2</v>
      </c>
      <c r="BT108" s="16">
        <v>3.0828720032641588E-2</v>
      </c>
      <c r="BU108" s="16">
        <v>1.9904465302639229E-3</v>
      </c>
      <c r="BV108" s="16">
        <v>6.238290609672037E-2</v>
      </c>
      <c r="BW108" s="16">
        <v>1.7669526363168098E-2</v>
      </c>
      <c r="BX108" s="16">
        <v>2.9558688079708295E-2</v>
      </c>
      <c r="BY108" s="16">
        <v>3.8058695256090846E-2</v>
      </c>
      <c r="BZ108" s="16">
        <v>1.0174484690279817E-2</v>
      </c>
      <c r="CA108" s="16">
        <v>4.587029863599712E-4</v>
      </c>
      <c r="CB108" s="16">
        <v>5.5739942766989681E-2</v>
      </c>
      <c r="CC108" s="16">
        <v>1.8362070961120858E-2</v>
      </c>
      <c r="CD108" s="16">
        <v>3.0674498024677366E-2</v>
      </c>
      <c r="CE108" s="16">
        <v>2.2208560982413306E-2</v>
      </c>
      <c r="CF108" s="16">
        <v>1.5601195876692175E-2</v>
      </c>
      <c r="CG108" s="16">
        <v>1.6415519904856124E-2</v>
      </c>
      <c r="CH108" s="16">
        <v>3.2285516289273231E-3</v>
      </c>
      <c r="CI108" s="16">
        <v>7.5809246567946076E-3</v>
      </c>
      <c r="CJ108" s="16">
        <v>3.5716044256575041E-2</v>
      </c>
      <c r="CK108" s="16">
        <v>5.5819269867963817E-3</v>
      </c>
      <c r="CL108" s="16">
        <v>1.2135302149548166E-2</v>
      </c>
      <c r="CM108" s="16">
        <v>5.5175622381230527E-3</v>
      </c>
      <c r="CN108" s="16">
        <v>2.5097592279604952E-2</v>
      </c>
      <c r="CO108" s="16">
        <v>3.4650493908128244E-2</v>
      </c>
      <c r="CP108" s="16">
        <v>6.0436352175593511E-3</v>
      </c>
      <c r="CQ108" s="16">
        <v>1.6036005065288128E-2</v>
      </c>
      <c r="CR108" s="16">
        <v>1.1656383604213394E-2</v>
      </c>
      <c r="CS108" s="16">
        <v>2.9573580762384255E-3</v>
      </c>
      <c r="CT108" s="16">
        <v>2.1425459821349468E-2</v>
      </c>
      <c r="CU108" s="16">
        <v>2.3114015441256797E-3</v>
      </c>
      <c r="CV108" s="16">
        <v>2.4640111093291117E-2</v>
      </c>
      <c r="CW108" s="16">
        <v>2.7683550529833734E-2</v>
      </c>
      <c r="CX108" s="16">
        <v>7.6986516358100721E-3</v>
      </c>
      <c r="CY108" s="16">
        <v>4.2464385517792747E-2</v>
      </c>
      <c r="CZ108" s="16">
        <v>3.1950729347860474E-3</v>
      </c>
      <c r="DA108" s="16">
        <v>2.1562096513436213E-2</v>
      </c>
      <c r="DB108" s="16">
        <v>2.5265738866716569E-2</v>
      </c>
      <c r="DC108" s="16">
        <v>1.0273540821062022E-2</v>
      </c>
      <c r="DD108" s="16">
        <v>1.3660516293901415E-2</v>
      </c>
      <c r="DE108" s="16">
        <v>1.9071647032492534E-2</v>
      </c>
      <c r="DF108" s="16">
        <v>1.3337843539422356E-2</v>
      </c>
      <c r="DG108" s="16">
        <v>3.3352471118083371E-2</v>
      </c>
      <c r="DH108" s="16">
        <v>3.1601758198638197E-2</v>
      </c>
      <c r="DI108" s="16">
        <v>1.2128433866127164E-2</v>
      </c>
      <c r="DJ108" s="16">
        <v>8.2947641055537424E-3</v>
      </c>
      <c r="DK108" s="16">
        <v>1.1377557006729933E-2</v>
      </c>
      <c r="DL108" s="16">
        <v>6.3142969970173546E-3</v>
      </c>
      <c r="DM108" s="16">
        <v>7.2989570699784068E-3</v>
      </c>
      <c r="DN108" s="16">
        <v>2.6079024580091259E-3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Helper</vt:lpstr>
      <vt:lpstr>Parameter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</dc:creator>
  <cp:lastModifiedBy>DZ</cp:lastModifiedBy>
  <dcterms:created xsi:type="dcterms:W3CDTF">2026-04-08T16:36:28Z</dcterms:created>
  <dcterms:modified xsi:type="dcterms:W3CDTF">2026-04-08T23:24:26Z</dcterms:modified>
</cp:coreProperties>
</file>